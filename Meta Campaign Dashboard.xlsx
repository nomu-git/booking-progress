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nton/NomuHub Dropbox/B. Marketing/Reporting/Campaign/"/>
    </mc:Choice>
  </mc:AlternateContent>
  <xr:revisionPtr revIDLastSave="0" documentId="13_ncr:1_{0BD7987F-A925-6742-B894-F4671B52E57D}" xr6:coauthVersionLast="47" xr6:coauthVersionMax="47" xr10:uidLastSave="{00000000-0000-0000-0000-000000000000}"/>
  <bookViews>
    <workbookView xWindow="0" yWindow="600" windowWidth="28800" windowHeight="15900" tabRatio="500" xr2:uid="{00000000-000D-0000-FFFF-FFFF00000000}"/>
  </bookViews>
  <sheets>
    <sheet name="Campaign Data" sheetId="1" r:id="rId1"/>
    <sheet name="Dashboard" sheetId="2" r:id="rId2"/>
    <sheet name="Previous Trips" sheetId="3" r:id="rId3"/>
  </sheets>
  <definedNames>
    <definedName name="_xlnm._FilterDatabase" localSheetId="2" hidden="1">'Previous Trips'!$B$8:$S$156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157" i="3" l="1"/>
  <c r="P157" i="3"/>
  <c r="O157" i="3"/>
  <c r="J157" i="3"/>
  <c r="L156" i="3"/>
  <c r="N156" i="3" s="1"/>
  <c r="L155" i="3"/>
  <c r="N155" i="3" s="1"/>
  <c r="L154" i="3"/>
  <c r="N154" i="3" s="1"/>
  <c r="L153" i="3"/>
  <c r="N153" i="3" s="1"/>
  <c r="L152" i="3"/>
  <c r="N152" i="3" s="1"/>
  <c r="L151" i="3"/>
  <c r="N151" i="3" s="1"/>
  <c r="L150" i="3"/>
  <c r="N150" i="3" s="1"/>
  <c r="L149" i="3"/>
  <c r="N149" i="3" s="1"/>
  <c r="L148" i="3"/>
  <c r="N148" i="3" s="1"/>
  <c r="L147" i="3"/>
  <c r="N147" i="3" s="1"/>
  <c r="L146" i="3"/>
  <c r="N146" i="3" s="1"/>
  <c r="L145" i="3"/>
  <c r="N145" i="3" s="1"/>
  <c r="L144" i="3"/>
  <c r="N144" i="3" s="1"/>
  <c r="L143" i="3"/>
  <c r="N143" i="3" s="1"/>
  <c r="L142" i="3"/>
  <c r="N142" i="3" s="1"/>
  <c r="L141" i="3"/>
  <c r="N141" i="3" s="1"/>
  <c r="L140" i="3"/>
  <c r="N140" i="3" s="1"/>
  <c r="L139" i="3"/>
  <c r="N139" i="3" s="1"/>
  <c r="L138" i="3"/>
  <c r="N138" i="3" s="1"/>
  <c r="L137" i="3"/>
  <c r="N137" i="3" s="1"/>
  <c r="L136" i="3"/>
  <c r="N136" i="3" s="1"/>
  <c r="L135" i="3"/>
  <c r="N135" i="3" s="1"/>
  <c r="L134" i="3"/>
  <c r="N134" i="3" s="1"/>
  <c r="L133" i="3"/>
  <c r="N133" i="3" s="1"/>
  <c r="L132" i="3"/>
  <c r="N132" i="3" s="1"/>
  <c r="L131" i="3"/>
  <c r="N131" i="3" s="1"/>
  <c r="L130" i="3"/>
  <c r="N130" i="3" s="1"/>
  <c r="L129" i="3"/>
  <c r="N129" i="3" s="1"/>
  <c r="L128" i="3"/>
  <c r="N128" i="3" s="1"/>
  <c r="L127" i="3"/>
  <c r="N127" i="3" s="1"/>
  <c r="L126" i="3"/>
  <c r="N126" i="3" s="1"/>
  <c r="L125" i="3"/>
  <c r="N125" i="3" s="1"/>
  <c r="L124" i="3"/>
  <c r="N124" i="3" s="1"/>
  <c r="L123" i="3"/>
  <c r="N123" i="3" s="1"/>
  <c r="L122" i="3"/>
  <c r="N122" i="3" s="1"/>
  <c r="L121" i="3"/>
  <c r="N121" i="3" s="1"/>
  <c r="L120" i="3"/>
  <c r="N120" i="3" s="1"/>
  <c r="L119" i="3"/>
  <c r="N119" i="3" s="1"/>
  <c r="L118" i="3"/>
  <c r="N118" i="3" s="1"/>
  <c r="L117" i="3"/>
  <c r="N117" i="3" s="1"/>
  <c r="L116" i="3"/>
  <c r="N116" i="3" s="1"/>
  <c r="L115" i="3"/>
  <c r="N115" i="3" s="1"/>
  <c r="L114" i="3"/>
  <c r="N114" i="3" s="1"/>
  <c r="L113" i="3"/>
  <c r="N113" i="3" s="1"/>
  <c r="L112" i="3"/>
  <c r="N112" i="3" s="1"/>
  <c r="L111" i="3"/>
  <c r="N111" i="3" s="1"/>
  <c r="L110" i="3"/>
  <c r="N110" i="3" s="1"/>
  <c r="L109" i="3"/>
  <c r="N109" i="3" s="1"/>
  <c r="L108" i="3"/>
  <c r="N108" i="3" s="1"/>
  <c r="L107" i="3"/>
  <c r="N107" i="3" s="1"/>
  <c r="L106" i="3"/>
  <c r="N106" i="3" s="1"/>
  <c r="L105" i="3"/>
  <c r="N105" i="3" s="1"/>
  <c r="L104" i="3"/>
  <c r="N104" i="3" s="1"/>
  <c r="L103" i="3"/>
  <c r="N103" i="3" s="1"/>
  <c r="L102" i="3"/>
  <c r="N102" i="3" s="1"/>
  <c r="L101" i="3"/>
  <c r="N101" i="3" s="1"/>
  <c r="L100" i="3"/>
  <c r="N100" i="3" s="1"/>
  <c r="L99" i="3"/>
  <c r="N99" i="3" s="1"/>
  <c r="L98" i="3"/>
  <c r="N98" i="3" s="1"/>
  <c r="L97" i="3"/>
  <c r="N97" i="3" s="1"/>
  <c r="L96" i="3"/>
  <c r="N96" i="3" s="1"/>
  <c r="L95" i="3"/>
  <c r="N95" i="3" s="1"/>
  <c r="L94" i="3"/>
  <c r="N94" i="3" s="1"/>
  <c r="L93" i="3"/>
  <c r="N93" i="3" s="1"/>
  <c r="L92" i="3"/>
  <c r="N92" i="3" s="1"/>
  <c r="L91" i="3"/>
  <c r="N91" i="3" s="1"/>
  <c r="L90" i="3"/>
  <c r="N90" i="3" s="1"/>
  <c r="L89" i="3"/>
  <c r="N89" i="3" s="1"/>
  <c r="L88" i="3"/>
  <c r="N88" i="3" s="1"/>
  <c r="L87" i="3"/>
  <c r="N87" i="3" s="1"/>
  <c r="L86" i="3"/>
  <c r="N86" i="3" s="1"/>
  <c r="L85" i="3"/>
  <c r="N85" i="3" s="1"/>
  <c r="L84" i="3"/>
  <c r="N84" i="3" s="1"/>
  <c r="L83" i="3"/>
  <c r="N83" i="3" s="1"/>
  <c r="L82" i="3"/>
  <c r="N82" i="3" s="1"/>
  <c r="L81" i="3"/>
  <c r="N81" i="3" s="1"/>
  <c r="L80" i="3"/>
  <c r="N80" i="3" s="1"/>
  <c r="L79" i="3"/>
  <c r="N79" i="3" s="1"/>
  <c r="L78" i="3"/>
  <c r="N78" i="3" s="1"/>
  <c r="L77" i="3"/>
  <c r="N77" i="3" s="1"/>
  <c r="L76" i="3"/>
  <c r="N76" i="3" s="1"/>
  <c r="L75" i="3"/>
  <c r="N75" i="3" s="1"/>
  <c r="L74" i="3"/>
  <c r="N74" i="3" s="1"/>
  <c r="L73" i="3"/>
  <c r="N73" i="3" s="1"/>
  <c r="L72" i="3"/>
  <c r="N72" i="3" s="1"/>
  <c r="L71" i="3"/>
  <c r="N71" i="3" s="1"/>
  <c r="L70" i="3"/>
  <c r="N70" i="3" s="1"/>
  <c r="L69" i="3"/>
  <c r="N69" i="3" s="1"/>
  <c r="L68" i="3"/>
  <c r="N68" i="3" s="1"/>
  <c r="L67" i="3"/>
  <c r="N67" i="3" s="1"/>
  <c r="L66" i="3"/>
  <c r="N66" i="3" s="1"/>
  <c r="L65" i="3"/>
  <c r="N65" i="3" s="1"/>
  <c r="L64" i="3"/>
  <c r="N64" i="3" s="1"/>
  <c r="L63" i="3"/>
  <c r="N63" i="3" s="1"/>
  <c r="L62" i="3"/>
  <c r="N62" i="3" s="1"/>
  <c r="L61" i="3"/>
  <c r="N61" i="3" s="1"/>
  <c r="L60" i="3"/>
  <c r="N60" i="3" s="1"/>
  <c r="L59" i="3"/>
  <c r="N59" i="3" s="1"/>
  <c r="L58" i="3"/>
  <c r="N58" i="3" s="1"/>
  <c r="L57" i="3"/>
  <c r="N57" i="3" s="1"/>
  <c r="L56" i="3"/>
  <c r="N56" i="3" s="1"/>
  <c r="L55" i="3"/>
  <c r="N55" i="3" s="1"/>
  <c r="L54" i="3"/>
  <c r="N54" i="3" s="1"/>
  <c r="L53" i="3"/>
  <c r="N53" i="3" s="1"/>
  <c r="L52" i="3"/>
  <c r="N52" i="3" s="1"/>
  <c r="L51" i="3"/>
  <c r="N51" i="3" s="1"/>
  <c r="L50" i="3"/>
  <c r="N50" i="3" s="1"/>
  <c r="L49" i="3"/>
  <c r="N49" i="3" s="1"/>
  <c r="L48" i="3"/>
  <c r="N48" i="3" s="1"/>
  <c r="L47" i="3"/>
  <c r="N47" i="3" s="1"/>
  <c r="L46" i="3"/>
  <c r="N46" i="3" s="1"/>
  <c r="L45" i="3"/>
  <c r="N45" i="3" s="1"/>
  <c r="L44" i="3"/>
  <c r="N44" i="3" s="1"/>
  <c r="L43" i="3"/>
  <c r="N43" i="3" s="1"/>
  <c r="L42" i="3"/>
  <c r="N42" i="3" s="1"/>
  <c r="L41" i="3"/>
  <c r="N41" i="3" s="1"/>
  <c r="L40" i="3"/>
  <c r="N40" i="3" s="1"/>
  <c r="L39" i="3"/>
  <c r="N39" i="3" s="1"/>
  <c r="L38" i="3"/>
  <c r="N38" i="3" s="1"/>
  <c r="L37" i="3"/>
  <c r="N37" i="3" s="1"/>
  <c r="L36" i="3"/>
  <c r="N36" i="3" s="1"/>
  <c r="L35" i="3"/>
  <c r="N35" i="3" s="1"/>
  <c r="L34" i="3"/>
  <c r="N34" i="3" s="1"/>
  <c r="L33" i="3"/>
  <c r="N33" i="3" s="1"/>
  <c r="L32" i="3"/>
  <c r="N32" i="3" s="1"/>
  <c r="L31" i="3"/>
  <c r="N31" i="3" s="1"/>
  <c r="L30" i="3"/>
  <c r="N30" i="3" s="1"/>
  <c r="L29" i="3"/>
  <c r="N29" i="3" s="1"/>
  <c r="L28" i="3"/>
  <c r="N28" i="3" s="1"/>
  <c r="L27" i="3"/>
  <c r="N27" i="3" s="1"/>
  <c r="L26" i="3"/>
  <c r="N26" i="3" s="1"/>
  <c r="L25" i="3"/>
  <c r="N25" i="3" s="1"/>
  <c r="L24" i="3"/>
  <c r="N24" i="3" s="1"/>
  <c r="L23" i="3"/>
  <c r="N23" i="3" s="1"/>
  <c r="L22" i="3"/>
  <c r="N22" i="3" s="1"/>
  <c r="L21" i="3"/>
  <c r="N21" i="3" s="1"/>
  <c r="L20" i="3"/>
  <c r="N20" i="3" s="1"/>
  <c r="L19" i="3"/>
  <c r="N19" i="3" s="1"/>
  <c r="L18" i="3"/>
  <c r="N18" i="3" s="1"/>
  <c r="L17" i="3"/>
  <c r="N17" i="3" s="1"/>
  <c r="L16" i="3"/>
  <c r="N16" i="3" s="1"/>
  <c r="V15" i="3"/>
  <c r="U15" i="3"/>
  <c r="L15" i="3"/>
  <c r="N15" i="3" s="1"/>
  <c r="V14" i="3"/>
  <c r="U14" i="3"/>
  <c r="L14" i="3"/>
  <c r="N14" i="3" s="1"/>
  <c r="V13" i="3"/>
  <c r="U13" i="3"/>
  <c r="L13" i="3"/>
  <c r="N13" i="3" s="1"/>
  <c r="V12" i="3"/>
  <c r="U12" i="3"/>
  <c r="L12" i="3"/>
  <c r="N12" i="3" s="1"/>
  <c r="V11" i="3"/>
  <c r="U11" i="3"/>
  <c r="L11" i="3"/>
  <c r="N11" i="3" s="1"/>
  <c r="V10" i="3"/>
  <c r="U10" i="3"/>
  <c r="L10" i="3"/>
  <c r="N10" i="3" s="1"/>
  <c r="V9" i="3"/>
  <c r="U9" i="3"/>
  <c r="L9" i="3"/>
  <c r="N9" i="3" s="1"/>
  <c r="O7" i="3"/>
  <c r="M7" i="3"/>
  <c r="K7" i="3"/>
  <c r="H7" i="3"/>
  <c r="F7" i="3"/>
  <c r="D7" i="3"/>
  <c r="B7" i="3"/>
  <c r="K42" i="2"/>
  <c r="J42" i="2"/>
  <c r="I42" i="2"/>
  <c r="G42" i="2"/>
  <c r="F42" i="2"/>
  <c r="H42" i="2" s="1"/>
  <c r="E42" i="2"/>
  <c r="D42" i="2"/>
  <c r="L41" i="2"/>
  <c r="K41" i="2"/>
  <c r="J41" i="2"/>
  <c r="I41" i="2"/>
  <c r="G41" i="2"/>
  <c r="H41" i="2" s="1"/>
  <c r="F41" i="2"/>
  <c r="M41" i="2" s="1"/>
  <c r="E41" i="2"/>
  <c r="D41" i="2"/>
  <c r="K40" i="2"/>
  <c r="J40" i="2"/>
  <c r="I40" i="2"/>
  <c r="G40" i="2"/>
  <c r="F40" i="2"/>
  <c r="M40" i="2" s="1"/>
  <c r="E40" i="2"/>
  <c r="D40" i="2"/>
  <c r="K39" i="2"/>
  <c r="L39" i="2" s="1"/>
  <c r="J39" i="2"/>
  <c r="I39" i="2"/>
  <c r="H39" i="2"/>
  <c r="G39" i="2"/>
  <c r="F39" i="2"/>
  <c r="M39" i="2" s="1"/>
  <c r="E39" i="2"/>
  <c r="D39" i="2"/>
  <c r="K38" i="2"/>
  <c r="J38" i="2"/>
  <c r="I38" i="2"/>
  <c r="G38" i="2"/>
  <c r="F38" i="2"/>
  <c r="H38" i="2" s="1"/>
  <c r="E38" i="2"/>
  <c r="D38" i="2"/>
  <c r="L37" i="2"/>
  <c r="K37" i="2"/>
  <c r="J37" i="2"/>
  <c r="J43" i="2" s="1"/>
  <c r="I37" i="2"/>
  <c r="I43" i="2" s="1"/>
  <c r="G37" i="2"/>
  <c r="G43" i="2" s="1"/>
  <c r="F37" i="2"/>
  <c r="F43" i="2" s="1"/>
  <c r="E37" i="2"/>
  <c r="E43" i="2" s="1"/>
  <c r="D37" i="2"/>
  <c r="D43" i="2" s="1"/>
  <c r="H15" i="2"/>
  <c r="I3" i="2"/>
  <c r="M22" i="1"/>
  <c r="F15" i="2" s="1"/>
  <c r="L22" i="1"/>
  <c r="H12" i="2" s="1"/>
  <c r="K22" i="1"/>
  <c r="F12" i="2" s="1"/>
  <c r="J22" i="1"/>
  <c r="B12" i="2" s="1"/>
  <c r="I22" i="1"/>
  <c r="O22" i="1" s="1"/>
  <c r="H9" i="2" s="1"/>
  <c r="H22" i="1"/>
  <c r="N22" i="1" s="1"/>
  <c r="F9" i="2" s="1"/>
  <c r="R21" i="1"/>
  <c r="Q21" i="1"/>
  <c r="P21" i="1"/>
  <c r="O21" i="1"/>
  <c r="N21" i="1"/>
  <c r="R20" i="1"/>
  <c r="Q20" i="1"/>
  <c r="P20" i="1"/>
  <c r="O20" i="1"/>
  <c r="N20" i="1"/>
  <c r="R19" i="1"/>
  <c r="Q19" i="1"/>
  <c r="P19" i="1"/>
  <c r="O19" i="1"/>
  <c r="N19" i="1"/>
  <c r="R18" i="1"/>
  <c r="Q18" i="1"/>
  <c r="P18" i="1"/>
  <c r="O18" i="1"/>
  <c r="N18" i="1"/>
  <c r="R17" i="1"/>
  <c r="Q17" i="1"/>
  <c r="P17" i="1"/>
  <c r="O17" i="1"/>
  <c r="N17" i="1"/>
  <c r="R16" i="1"/>
  <c r="Q16" i="1"/>
  <c r="P16" i="1"/>
  <c r="O16" i="1"/>
  <c r="N16" i="1"/>
  <c r="R15" i="1"/>
  <c r="Q15" i="1"/>
  <c r="P15" i="1"/>
  <c r="O15" i="1"/>
  <c r="N15" i="1"/>
  <c r="R14" i="1"/>
  <c r="Q14" i="1"/>
  <c r="P14" i="1"/>
  <c r="O14" i="1"/>
  <c r="N14" i="1"/>
  <c r="R13" i="1"/>
  <c r="Q13" i="1"/>
  <c r="P13" i="1"/>
  <c r="O13" i="1"/>
  <c r="N13" i="1"/>
  <c r="R12" i="1"/>
  <c r="Q12" i="1"/>
  <c r="P12" i="1"/>
  <c r="O12" i="1"/>
  <c r="N12" i="1"/>
  <c r="R11" i="1"/>
  <c r="Q11" i="1"/>
  <c r="P11" i="1"/>
  <c r="O11" i="1"/>
  <c r="N11" i="1"/>
  <c r="R10" i="1"/>
  <c r="Q10" i="1"/>
  <c r="P10" i="1"/>
  <c r="O10" i="1"/>
  <c r="N10" i="1"/>
  <c r="R9" i="1"/>
  <c r="Q9" i="1"/>
  <c r="P9" i="1"/>
  <c r="O9" i="1"/>
  <c r="N9" i="1"/>
  <c r="R8" i="1"/>
  <c r="Q8" i="1"/>
  <c r="P8" i="1"/>
  <c r="O8" i="1"/>
  <c r="N8" i="1"/>
  <c r="R7" i="1"/>
  <c r="Q7" i="1"/>
  <c r="P7" i="1"/>
  <c r="O7" i="1"/>
  <c r="N7" i="1"/>
  <c r="R6" i="1"/>
  <c r="Q6" i="1"/>
  <c r="P6" i="1"/>
  <c r="O6" i="1"/>
  <c r="N6" i="1"/>
  <c r="R5" i="1"/>
  <c r="Q5" i="1"/>
  <c r="P5" i="1"/>
  <c r="O5" i="1"/>
  <c r="N5" i="1"/>
  <c r="M43" i="2" l="1"/>
  <c r="H43" i="2"/>
  <c r="Q22" i="1"/>
  <c r="D15" i="2" s="1"/>
  <c r="M37" i="2"/>
  <c r="R22" i="1"/>
  <c r="B15" i="2" s="1"/>
  <c r="L38" i="2"/>
  <c r="H40" i="2"/>
  <c r="L42" i="2"/>
  <c r="M38" i="2"/>
  <c r="M42" i="2"/>
  <c r="K43" i="2"/>
  <c r="L43" i="2" s="1"/>
  <c r="B9" i="2"/>
  <c r="H37" i="2"/>
  <c r="L157" i="3"/>
  <c r="P22" i="1"/>
  <c r="D12" i="2" s="1"/>
  <c r="D9" i="2"/>
  <c r="L40" i="2"/>
</calcChain>
</file>

<file path=xl/sharedStrings.xml><?xml version="1.0" encoding="utf-8"?>
<sst xmlns="http://schemas.openxmlformats.org/spreadsheetml/2006/main" count="1549" uniqueCount="282">
  <si>
    <t>NOMUHUB  |  META CAMPAIGNS 2026  -  INPUT SHEET</t>
  </si>
  <si>
    <t xml:space="preserve">2026 figures only, taken month by month from Meta Ads Manager so every date is exact. Blue cells are typed in, white cells calculate. The Dashboard reads rows 5 to 21. </t>
  </si>
  <si>
    <t>Campaign Name</t>
  </si>
  <si>
    <t>Start Date</t>
  </si>
  <si>
    <t>First Month</t>
  </si>
  <si>
    <t>Last Month</t>
  </si>
  <si>
    <t>Months Live</t>
  </si>
  <si>
    <t>Status</t>
  </si>
  <si>
    <t>Objective</t>
  </si>
  <si>
    <t>Allocated Budget (SAR)</t>
  </si>
  <si>
    <t>Actual Spend (SAR)</t>
  </si>
  <si>
    <t>Results</t>
  </si>
  <si>
    <t>Impressions</t>
  </si>
  <si>
    <t>Reach</t>
  </si>
  <si>
    <t>Purchases</t>
  </si>
  <si>
    <t>Budget Remaining (SAR)</t>
  </si>
  <si>
    <t>Budget Used %</t>
  </si>
  <si>
    <t>Cost per Result (SAR)</t>
  </si>
  <si>
    <t>CPM (SAR)</t>
  </si>
  <si>
    <t>Frequency</t>
  </si>
  <si>
    <t>2026 Nomuhup Carousell</t>
  </si>
  <si>
    <t>Jun 2026</t>
  </si>
  <si>
    <t>Aug 2026</t>
  </si>
  <si>
    <t>Inactive</t>
  </si>
  <si>
    <t>Messages</t>
  </si>
  <si>
    <t>retarget sales</t>
  </si>
  <si>
    <t>Feb 2026</t>
  </si>
  <si>
    <t>Active</t>
  </si>
  <si>
    <t>ZNZ Build  MSG - 2026</t>
  </si>
  <si>
    <t>Jan 2026</t>
  </si>
  <si>
    <t>Discount Code</t>
  </si>
  <si>
    <t>Vietnam explore sales</t>
  </si>
  <si>
    <t>Vietnam Explore MSG - 2026</t>
  </si>
  <si>
    <t>Thailan Wellness MSG - 2026</t>
  </si>
  <si>
    <t>Bali Explore Msgs CPO</t>
  </si>
  <si>
    <t>ZNZ Explore Msgs CPO</t>
  </si>
  <si>
    <t>ZNZ Medical - 2</t>
  </si>
  <si>
    <t>ZNZ Build10%</t>
  </si>
  <si>
    <t>Bali Explore 10%</t>
  </si>
  <si>
    <t>Vietnam Explore 10%</t>
  </si>
  <si>
    <t>TOTAL / AVERAGE</t>
  </si>
  <si>
    <t>META ADS  |  NOMUHUB 2026</t>
  </si>
  <si>
    <t>PERFORMANCE</t>
  </si>
  <si>
    <t>SPEND BY OBJECTIVE</t>
  </si>
  <si>
    <t>ALLOCATED BUDGET</t>
  </si>
  <si>
    <t>ACTUAL SPEND</t>
  </si>
  <si>
    <t>BUDGET REMAINING</t>
  </si>
  <si>
    <t>BUDGET USED</t>
  </si>
  <si>
    <t>RESULTS</t>
  </si>
  <si>
    <t>COST PER RESULT</t>
  </si>
  <si>
    <t>IMPRESSIONS</t>
  </si>
  <si>
    <t>REACH</t>
  </si>
  <si>
    <t>FREQUENCY</t>
  </si>
  <si>
    <t>CPM</t>
  </si>
  <si>
    <t>PURCHASES</t>
  </si>
  <si>
    <t>CAMPAIGNS</t>
  </si>
  <si>
    <t>BUDGET vs ACTUAL SPEND</t>
  </si>
  <si>
    <t>RESULTS BY CAMPAIGN</t>
  </si>
  <si>
    <t>PERFORMANCE BY CAMPAIGN OBJECTIVE</t>
  </si>
  <si>
    <t>Campaign Objective</t>
  </si>
  <si>
    <t>Campaigns</t>
  </si>
  <si>
    <t>Allocated</t>
  </si>
  <si>
    <t>Spend</t>
  </si>
  <si>
    <t>Cost/Result</t>
  </si>
  <si>
    <t>% of Spend</t>
  </si>
  <si>
    <t>Leads</t>
  </si>
  <si>
    <t>Link Clicks</t>
  </si>
  <si>
    <t>Custom Conversion</t>
  </si>
  <si>
    <t>ALL OBJECTIVES</t>
  </si>
  <si>
    <t xml:space="preserve">All figures in SAR and cover 2026 only, month by month from Meta. Update the Campaign Data tab, this page refreshes on its own. </t>
  </si>
  <si>
    <t>NOMUHUB  |  PREVIOUS TRIPS  -  FULL CAMPAIGN ARCHIVE BY YEAR</t>
  </si>
  <si>
    <t>One row per campaign per year, with the exact months it ran, taken from Meta's month by month delivery data across both NomuHub ad accounts. Reference only</t>
  </si>
  <si>
    <t>ROWS (CAMPAIGN x YEAR)</t>
  </si>
  <si>
    <t>TOTAL SPENT</t>
  </si>
  <si>
    <t>ROWS WITH SPEND</t>
  </si>
  <si>
    <t>TOTAL IMPRESSIONS</t>
  </si>
  <si>
    <t>TOTAL REACH</t>
  </si>
  <si>
    <t>TOTAL PURCHASES</t>
  </si>
  <si>
    <t>EXACT START DATES FOUND</t>
  </si>
  <si>
    <t>USD to SAR RATE</t>
  </si>
  <si>
    <t>SPEND BY YEAR</t>
  </si>
  <si>
    <t>amber years = figures purged by Meta</t>
  </si>
  <si>
    <t>Year</t>
  </si>
  <si>
    <t>Ad Account</t>
  </si>
  <si>
    <t>Spend (orig)</t>
  </si>
  <si>
    <t>Cur</t>
  </si>
  <si>
    <t>Spend (SAR)</t>
  </si>
  <si>
    <t>Date Source</t>
  </si>
  <si>
    <t>Campaign Start Date</t>
  </si>
  <si>
    <t>Summer 2019 - New - Copy</t>
  </si>
  <si>
    <t>2019</t>
  </si>
  <si>
    <t>Purged by Meta</t>
  </si>
  <si>
    <t>Nomuhub ad account</t>
  </si>
  <si>
    <t>No delivery</t>
  </si>
  <si>
    <t>SAR</t>
  </si>
  <si>
    <t>Ran before Jul 2023, figures purged</t>
  </si>
  <si>
    <t>not in master file</t>
  </si>
  <si>
    <t>Morocco Summer 2019 campaign</t>
  </si>
  <si>
    <t>2021</t>
  </si>
  <si>
    <t>Zanzibar April 2019</t>
  </si>
  <si>
    <t>2022</t>
  </si>
  <si>
    <t>Summer 2019 (first ad)</t>
  </si>
  <si>
    <t>2023</t>
  </si>
  <si>
    <t>Retargeting_OCT_2021</t>
  </si>
  <si>
    <t>Archived</t>
  </si>
  <si>
    <t>2024</t>
  </si>
  <si>
    <t>Winter_GCCAudience25102021_conversions</t>
  </si>
  <si>
    <t>2025</t>
  </si>
  <si>
    <t>GCCBroaderAudience_Septrip_2021</t>
  </si>
  <si>
    <t>Never delivered</t>
  </si>
  <si>
    <t>PRO_GCCBroaderAudience18082021</t>
  </si>
  <si>
    <t>Retargeting_sep_2021</t>
  </si>
  <si>
    <t>RET_Websitevisitors,Videoviewers,Eanagers_SeptTrips 18082021</t>
  </si>
  <si>
    <t>Summer_Campaign_2022_Traffic</t>
  </si>
  <si>
    <t>Retargeting_Reach_Winter2022</t>
  </si>
  <si>
    <t>August Sales Campaign 2023</t>
  </si>
  <si>
    <t>Jul 2023</t>
  </si>
  <si>
    <t>Oct 2023</t>
  </si>
  <si>
    <t>Meta delivery data</t>
  </si>
  <si>
    <t>Oct Nov Dec Leads Campaign 2023</t>
  </si>
  <si>
    <t>Aug 2023</t>
  </si>
  <si>
    <t>Nov 2023</t>
  </si>
  <si>
    <t>Zanzibar_Leads_2023</t>
  </si>
  <si>
    <t>Dec 2023</t>
  </si>
  <si>
    <t>Bali_Leads_2023</t>
  </si>
  <si>
    <t>Alula campaign 2023</t>
  </si>
  <si>
    <t>Sep 2023</t>
  </si>
  <si>
    <t>Italy Blue Zone 2023 / Explore + Kenya</t>
  </si>
  <si>
    <t>SriLanka_Leads_2023</t>
  </si>
  <si>
    <t>ZNZ_Building_2023</t>
  </si>
  <si>
    <t>Dooma_Awareness_2023</t>
  </si>
  <si>
    <t>Kenya_Sales_2023</t>
  </si>
  <si>
    <t>Leads_AncientKingdoms_2023</t>
  </si>
  <si>
    <t>Bali Building_2023</t>
  </si>
  <si>
    <t>Zanzibar Teaching_2023</t>
  </si>
  <si>
    <t>Kenya_Safari_2023</t>
  </si>
  <si>
    <t>Explore_Trips_2023</t>
  </si>
  <si>
    <t>Winter_2023</t>
  </si>
  <si>
    <t>Welness Trip 2023</t>
  </si>
  <si>
    <t>August 2023 Sales Campaign  Campaign</t>
  </si>
  <si>
    <t>Bali MSG Build june</t>
  </si>
  <si>
    <t>May 2024</t>
  </si>
  <si>
    <t>Jul 2024</t>
  </si>
  <si>
    <t>Bali Wellness Dec</t>
  </si>
  <si>
    <t>Oct 2024</t>
  </si>
  <si>
    <t>Dec 2024</t>
  </si>
  <si>
    <t>ZNZ Explore MSG</t>
  </si>
  <si>
    <t>Nov 2024</t>
  </si>
  <si>
    <t>Vietnam MSG</t>
  </si>
  <si>
    <t>Sep 2024</t>
  </si>
  <si>
    <t>Jan 2024</t>
  </si>
  <si>
    <t>Feb 2024</t>
  </si>
  <si>
    <t>Bali MSG ًwellness July</t>
  </si>
  <si>
    <t>Jun 2024</t>
  </si>
  <si>
    <t>Salal MSG</t>
  </si>
  <si>
    <t>Aug 2024</t>
  </si>
  <si>
    <t>Aseer MSG</t>
  </si>
  <si>
    <t>Thailand Wellness LP  2 edit</t>
  </si>
  <si>
    <t>Retargeting</t>
  </si>
  <si>
    <t>ZNZ Teaching</t>
  </si>
  <si>
    <t>ZNZ teach Aug</t>
  </si>
  <si>
    <t>Thailand Teaching Campaign MSG</t>
  </si>
  <si>
    <t>Thailand Wellness MSG</t>
  </si>
  <si>
    <t>Apr 2024</t>
  </si>
  <si>
    <t>Bali Explore  MSG</t>
  </si>
  <si>
    <t>ZNZ Medical</t>
  </si>
  <si>
    <t>Maldives Traffic Campaign 04022024</t>
  </si>
  <si>
    <t>Mar 2024</t>
  </si>
  <si>
    <t>Korea Explore MSG</t>
  </si>
  <si>
    <t>Thailand teaching MSG</t>
  </si>
  <si>
    <t>ZNZ Building Sep Msg</t>
  </si>
  <si>
    <t>Zanz Medcine MSG</t>
  </si>
  <si>
    <t>Bali MSG Explore July</t>
  </si>
  <si>
    <t>AlUla MSG - Copy</t>
  </si>
  <si>
    <t>Morroco MSG</t>
  </si>
  <si>
    <t>Zinzibar Explor MSG</t>
  </si>
  <si>
    <t>Bali Wellness September MSG</t>
  </si>
  <si>
    <t>ZNZ Builed MSG</t>
  </si>
  <si>
    <t>Kenya Explor  MSG</t>
  </si>
  <si>
    <t>Keynia Safari</t>
  </si>
  <si>
    <t>Srilanka Build MSG</t>
  </si>
  <si>
    <t>AW Campaign Traffic</t>
  </si>
  <si>
    <t>Nomu Hub</t>
  </si>
  <si>
    <t>Profile Visits</t>
  </si>
  <si>
    <t>USD</t>
  </si>
  <si>
    <t>General Awareness Campaign 040302024</t>
  </si>
  <si>
    <t>Corporate</t>
  </si>
  <si>
    <t>Vietnam Msg Explore</t>
  </si>
  <si>
    <t>Morrocco MSG</t>
  </si>
  <si>
    <t>Zinzibar Building MSG - Copy</t>
  </si>
  <si>
    <t>Sardinia MSG</t>
  </si>
  <si>
    <t>Zinzibar Building MSG Build june</t>
  </si>
  <si>
    <t>Italy_Sales_220324</t>
  </si>
  <si>
    <t>Thailand wellness sep MSG</t>
  </si>
  <si>
    <t>Zanzibar Traffic Campaign 04032024</t>
  </si>
  <si>
    <t>Morrocco LP  2</t>
  </si>
  <si>
    <t>Zanzibar Engagement Campaign 04032024</t>
  </si>
  <si>
    <t>Oman_Traffic_2024</t>
  </si>
  <si>
    <t>Morocco Leads Campagin 28032024</t>
  </si>
  <si>
    <t>Contact retargeting</t>
  </si>
  <si>
    <t>Website Contacts</t>
  </si>
  <si>
    <t>TH Wellness</t>
  </si>
  <si>
    <t>Nepal Building Msgs</t>
  </si>
  <si>
    <t>Bali Explore July Contact</t>
  </si>
  <si>
    <t>Morrocco LP</t>
  </si>
  <si>
    <t>AlUla MSG</t>
  </si>
  <si>
    <t>General_Awareness_Campaign_2024</t>
  </si>
  <si>
    <t>Leads Zinzipar Explore</t>
  </si>
  <si>
    <t>Engagement_Whatsapp_Campaign_2024</t>
  </si>
  <si>
    <t>Feb 2025</t>
  </si>
  <si>
    <t>Dec 2025</t>
  </si>
  <si>
    <t>Jan 2025</t>
  </si>
  <si>
    <t>Jun 2025</t>
  </si>
  <si>
    <t>ZNZ Building</t>
  </si>
  <si>
    <t>Nov 2025</t>
  </si>
  <si>
    <t>Korea Msg</t>
  </si>
  <si>
    <t>Oct 2025</t>
  </si>
  <si>
    <t>Philippines Building</t>
  </si>
  <si>
    <t>Jul 2025</t>
  </si>
  <si>
    <t>Sep 2025</t>
  </si>
  <si>
    <t>Bali Wellness</t>
  </si>
  <si>
    <t>Apr 2025</t>
  </si>
  <si>
    <t>Insta Visit</t>
  </si>
  <si>
    <t>Aug 2025</t>
  </si>
  <si>
    <t>Bali Wellness december</t>
  </si>
  <si>
    <t>Bali Explore</t>
  </si>
  <si>
    <t>South Africa Campaign</t>
  </si>
  <si>
    <t>Thailan Wellness MSG</t>
  </si>
  <si>
    <t>BA Build</t>
  </si>
  <si>
    <t>JP</t>
  </si>
  <si>
    <t>ZNZ Explore - Copy</t>
  </si>
  <si>
    <t>May 2025</t>
  </si>
  <si>
    <t>Bali wellness</t>
  </si>
  <si>
    <t>Morrocco Msg</t>
  </si>
  <si>
    <t>BA Well</t>
  </si>
  <si>
    <t>ZNZ Buildingg</t>
  </si>
  <si>
    <t>ZNZ Building 2</t>
  </si>
  <si>
    <t>Sala MSG</t>
  </si>
  <si>
    <t>ZNZ Build</t>
  </si>
  <si>
    <t>vitnam explore</t>
  </si>
  <si>
    <t>Bali teaching</t>
  </si>
  <si>
    <t>ZnZ teaching</t>
  </si>
  <si>
    <t>BA Teaching</t>
  </si>
  <si>
    <t>Znz Building</t>
  </si>
  <si>
    <t>Sales Bali well Dec</t>
  </si>
  <si>
    <t>Korea Purchase</t>
  </si>
  <si>
    <t>ZNZ Explore</t>
  </si>
  <si>
    <t>Explore_whatsapp_campaign</t>
  </si>
  <si>
    <t>Never spent</t>
  </si>
  <si>
    <t>Created, never delivered</t>
  </si>
  <si>
    <t>Italy_Wellness_Sales_0423</t>
  </si>
  <si>
    <t>Awareness_alwayson</t>
  </si>
  <si>
    <t>Story Campaign</t>
  </si>
  <si>
    <t>Bali Building</t>
  </si>
  <si>
    <t>CON_Winter_KSA</t>
  </si>
  <si>
    <t>Znz build</t>
  </si>
  <si>
    <t>DM_Campaign_summer</t>
  </si>
  <si>
    <t>Summer_engagement_22</t>
  </si>
  <si>
    <t>March_1802222</t>
  </si>
  <si>
    <t>Look alike ad</t>
  </si>
  <si>
    <t>DM - September Trip</t>
  </si>
  <si>
    <t>30/5 Summer v3 campaign</t>
  </si>
  <si>
    <t>Traffic - September Trip</t>
  </si>
  <si>
    <t>Sustainability awareness campaign</t>
  </si>
  <si>
    <t>Morocco Summer 2</t>
  </si>
  <si>
    <t>Zinzibar Building MSG</t>
  </si>
  <si>
    <t>CON_Winter_111022</t>
  </si>
  <si>
    <t>Sept ad for sustainability - All GCC</t>
  </si>
  <si>
    <t>New Leads Campaign</t>
  </si>
  <si>
    <t>Sept ad for sustainability</t>
  </si>
  <si>
    <t>New Sales Campaign</t>
  </si>
  <si>
    <t>Morocco April trip</t>
  </si>
  <si>
    <t>Deleted</t>
  </si>
  <si>
    <t>New Traffic Campaign</t>
  </si>
  <si>
    <t>Awareness campaign</t>
  </si>
  <si>
    <t>TOTAL, ALL PREVIOUS YEARS</t>
  </si>
  <si>
    <t>mixed objectives</t>
  </si>
  <si>
    <t>VERIFIED IN ADS MANAGER on 24 Aug 2026, read only check of both NomuHub ad accounts:</t>
  </si>
  <si>
    <t>Note 1:  Year, First Month and Last Month come from Meta's own month by month delivery figures, so they are exact.</t>
  </si>
  <si>
    <t>Note 2:  Meta only keeps month level data back to Jul 2023. Rows shown in amber had no spend or impressions in that window, so the year is taken from the campaign name, or marked Never delivered where the campaign never spent anything.</t>
  </si>
  <si>
    <t>Note 3:  Rows marked 'not in master file' were not present in the export, mainly Nomu Hub account campaigns and ones with no delivery.</t>
  </si>
  <si>
    <t>DATA COVERAGE:  Jul 2023 to Aug 2026 is complete and verified. 2019 to Jun 2023 spend figures no longer exist in Meta and cannot be exported.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</si>
</sst>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m\-yyyy"/>
    <numFmt numFmtId="165" formatCode="#,##0;\(#,##0\);\-"/>
    <numFmt numFmtId="166" formatCode="#,##0.00;\(#,##0.00\);\-"/>
    <numFmt numFmtId="167" formatCode="0.0%;\(0.0%\);\-"/>
    <numFmt numFmtId="168" formatCode="0.00;\(0.00\);\-"/>
    <numFmt numFmtId="169" formatCode="&quot;SAR &quot;#,##0;&quot;(SAR &quot;#,##0\);&quot;SAR &quot;0"/>
    <numFmt numFmtId="170" formatCode="&quot;SAR &quot;#,##0.00;&quot;(SAR &quot;#,##0.00\);\-"/>
  </numFmts>
  <fonts count="24" x14ac:knownFonts="1">
    <font>
      <sz val="11"/>
      <color theme="1"/>
      <name val="Calibri"/>
      <family val="2"/>
      <charset val="1"/>
    </font>
    <font>
      <b/>
      <sz val="14"/>
      <color rgb="FFFFFFFF"/>
      <name val="Arial"/>
      <family val="2"/>
      <charset val="1"/>
    </font>
    <font>
      <sz val="9"/>
      <color rgb="FF00707E"/>
      <name val="Arial"/>
      <family val="2"/>
      <charset val="1"/>
    </font>
    <font>
      <b/>
      <sz val="9"/>
      <color rgb="FFFFFFFF"/>
      <name val="Arial"/>
      <family val="2"/>
      <charset val="1"/>
    </font>
    <font>
      <sz val="10"/>
      <color rgb="FF12212B"/>
      <name val="Arial"/>
      <family val="2"/>
      <charset val="1"/>
    </font>
    <font>
      <sz val="10"/>
      <color rgb="FF4C5C68"/>
      <name val="Arial"/>
      <family val="2"/>
      <charset val="1"/>
    </font>
    <font>
      <b/>
      <sz val="10"/>
      <color rgb="FFFFFFFF"/>
      <name val="Arial"/>
      <family val="2"/>
      <charset val="1"/>
    </font>
    <font>
      <i/>
      <sz val="9"/>
      <color rgb="FFB45309"/>
      <name val="Arial"/>
      <family val="2"/>
      <charset val="1"/>
    </font>
    <font>
      <b/>
      <sz val="15"/>
      <color rgb="FFFFFFFF"/>
      <name val="Arial"/>
      <family val="2"/>
      <charset val="1"/>
    </font>
    <font>
      <b/>
      <sz val="9"/>
      <color theme="0"/>
      <name val="Arial"/>
      <family val="2"/>
      <charset val="1"/>
    </font>
    <font>
      <b/>
      <sz val="8"/>
      <color rgb="FF6B7B88"/>
      <name val="Arial"/>
      <family val="2"/>
      <charset val="1"/>
    </font>
    <font>
      <b/>
      <sz val="14"/>
      <color rgb="FF12212B"/>
      <name val="Arial"/>
      <family val="2"/>
      <charset val="1"/>
    </font>
    <font>
      <b/>
      <sz val="9"/>
      <color rgb="FF12212B"/>
      <name val="Arial"/>
      <family val="2"/>
      <charset val="1"/>
    </font>
    <font>
      <sz val="9"/>
      <color rgb="FF12212B"/>
      <name val="Arial"/>
      <family val="2"/>
      <charset val="1"/>
    </font>
    <font>
      <i/>
      <sz val="8"/>
      <color rgb="FF6B7B88"/>
      <name val="Arial"/>
      <family val="2"/>
      <charset val="1"/>
    </font>
    <font>
      <b/>
      <sz val="7"/>
      <color rgb="FF6B7B88"/>
      <name val="Arial"/>
      <family val="2"/>
      <charset val="1"/>
    </font>
    <font>
      <b/>
      <sz val="10"/>
      <color rgb="FF12212B"/>
      <name val="Arial"/>
      <family val="2"/>
      <charset val="1"/>
    </font>
    <font>
      <b/>
      <sz val="12"/>
      <color rgb="FF12212B"/>
      <name val="Arial"/>
      <family val="2"/>
      <charset val="1"/>
    </font>
    <font>
      <i/>
      <sz val="7"/>
      <color rgb="FFB45309"/>
      <name val="Arial"/>
      <family val="2"/>
    </font>
    <font>
      <i/>
      <sz val="9"/>
      <color rgb="FFB45309"/>
      <name val="Arial"/>
      <family val="2"/>
    </font>
    <font>
      <i/>
      <sz val="9"/>
      <color rgb="FF6B7B88"/>
      <name val="Arial"/>
      <family val="2"/>
    </font>
    <font>
      <b/>
      <sz val="9"/>
      <color rgb="FF12212B"/>
      <name val="Arial"/>
      <family val="2"/>
    </font>
    <font>
      <b/>
      <sz val="9"/>
      <color rgb="FF00707E"/>
      <name val="Arial"/>
      <family val="2"/>
    </font>
    <font>
      <sz val="11"/>
      <color rgb="FF000000"/>
      <name val="Calibri"/>
      <family val="2"/>
    </font>
  </fonts>
  <fills count="10">
    <fill>
      <patternFill patternType="none"/>
    </fill>
    <fill>
      <patternFill patternType="gray125"/>
    </fill>
    <fill>
      <patternFill patternType="solid">
        <fgColor theme="3"/>
        <bgColor rgb="FF0E4C55"/>
      </patternFill>
    </fill>
    <fill>
      <patternFill patternType="solid">
        <fgColor rgb="FFD9F2F6"/>
        <bgColor rgb="FFE8EEF1"/>
      </patternFill>
    </fill>
    <fill>
      <patternFill patternType="solid">
        <fgColor rgb="FF00A9BC"/>
        <bgColor rgb="FF008080"/>
      </patternFill>
    </fill>
    <fill>
      <patternFill patternType="solid">
        <fgColor rgb="FF00707E"/>
        <bgColor rgb="FF008080"/>
      </patternFill>
    </fill>
    <fill>
      <patternFill patternType="solid">
        <fgColor rgb="FFF3F5F7"/>
        <bgColor rgb="FFEFF3F5"/>
      </patternFill>
    </fill>
    <fill>
      <patternFill patternType="solid">
        <fgColor rgb="FFEFF3F5"/>
        <bgColor rgb="FFEEF3F5"/>
      </patternFill>
    </fill>
    <fill>
      <patternFill patternType="solid">
        <fgColor rgb="FFFFFFFF"/>
        <bgColor rgb="FFF7FAFB"/>
      </patternFill>
    </fill>
    <fill>
      <patternFill patternType="solid">
        <fgColor rgb="FFF7FAFB"/>
        <bgColor rgb="FFF3F5F7"/>
      </patternFill>
    </fill>
  </fills>
  <borders count="3">
    <border>
      <left/>
      <right/>
      <top/>
      <bottom/>
      <diagonal/>
    </border>
    <border>
      <left style="thin">
        <color rgb="FFDCE5EA"/>
      </left>
      <right style="thin">
        <color rgb="FFDCE5EA"/>
      </right>
      <top style="thin">
        <color rgb="FFDCE5EA"/>
      </top>
      <bottom style="thin">
        <color rgb="FFDCE5EA"/>
      </bottom>
      <diagonal/>
    </border>
    <border>
      <left/>
      <right/>
      <top/>
      <bottom style="thin">
        <color rgb="FFEEF3F5"/>
      </bottom>
      <diagonal/>
    </border>
  </borders>
  <cellStyleXfs count="1">
    <xf numFmtId="0" fontId="0" fillId="0" borderId="0"/>
  </cellStyleXfs>
  <cellXfs count="92">
    <xf numFmtId="0" fontId="0" fillId="0" borderId="0" xfId="0"/>
    <xf numFmtId="0" fontId="3" fillId="5" borderId="0" xfId="0" applyFont="1" applyFill="1" applyAlignment="1">
      <alignment horizontal="left" vertical="center" wrapText="1" inden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3" borderId="1" xfId="0" applyFont="1" applyFill="1" applyBorder="1" applyAlignment="1">
      <alignment horizontal="left" vertical="center" indent="1"/>
    </xf>
    <xf numFmtId="16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165" fontId="4" fillId="3" borderId="1" xfId="0" applyNumberFormat="1" applyFont="1" applyFill="1" applyBorder="1" applyAlignment="1">
      <alignment horizontal="center" vertical="center"/>
    </xf>
    <xf numFmtId="166" fontId="4" fillId="3" borderId="1" xfId="0" applyNumberFormat="1" applyFont="1" applyFill="1" applyBorder="1" applyAlignment="1">
      <alignment horizontal="center" vertical="center"/>
    </xf>
    <xf numFmtId="166" fontId="5" fillId="6" borderId="1" xfId="0" applyNumberFormat="1" applyFont="1" applyFill="1" applyBorder="1" applyAlignment="1">
      <alignment horizontal="center" vertical="center"/>
    </xf>
    <xf numFmtId="167" fontId="5" fillId="6" borderId="1" xfId="0" applyNumberFormat="1" applyFont="1" applyFill="1" applyBorder="1" applyAlignment="1">
      <alignment horizontal="center" vertical="center"/>
    </xf>
    <xf numFmtId="168" fontId="5" fillId="6" borderId="1" xfId="0" applyNumberFormat="1" applyFont="1" applyFill="1" applyBorder="1" applyAlignment="1">
      <alignment horizontal="center" vertical="center"/>
    </xf>
    <xf numFmtId="0" fontId="6" fillId="2" borderId="0" xfId="0" applyFont="1" applyFill="1" applyAlignment="1">
      <alignment horizontal="left" vertical="center" indent="1"/>
    </xf>
    <xf numFmtId="164" fontId="6" fillId="2" borderId="0" xfId="0" applyNumberFormat="1" applyFont="1" applyFill="1" applyAlignment="1">
      <alignment horizontal="center" vertical="center"/>
    </xf>
    <xf numFmtId="0" fontId="6" fillId="2" borderId="0" xfId="0" applyFont="1" applyFill="1" applyAlignment="1">
      <alignment horizontal="center" vertical="center"/>
    </xf>
    <xf numFmtId="165" fontId="6" fillId="2" borderId="0" xfId="0" applyNumberFormat="1" applyFont="1" applyFill="1" applyAlignment="1">
      <alignment horizontal="center" vertical="center"/>
    </xf>
    <xf numFmtId="166" fontId="6" fillId="2" borderId="0" xfId="0" applyNumberFormat="1" applyFont="1" applyFill="1" applyAlignment="1">
      <alignment horizontal="center" vertical="center"/>
    </xf>
    <xf numFmtId="167" fontId="6" fillId="2" borderId="0" xfId="0" applyNumberFormat="1" applyFont="1" applyFill="1" applyAlignment="1">
      <alignment horizontal="center" vertical="center"/>
    </xf>
    <xf numFmtId="168" fontId="6" fillId="2" borderId="0" xfId="0" applyNumberFormat="1" applyFont="1" applyFill="1" applyAlignment="1">
      <alignment horizontal="center" vertical="center"/>
    </xf>
    <xf numFmtId="0" fontId="7" fillId="0" borderId="0" xfId="0" applyFont="1"/>
    <xf numFmtId="0" fontId="4" fillId="7" borderId="0" xfId="0" applyFont="1" applyFill="1"/>
    <xf numFmtId="0" fontId="4" fillId="2" borderId="0" xfId="0" applyFont="1" applyFill="1"/>
    <xf numFmtId="0" fontId="4" fillId="4" borderId="0" xfId="0" applyFont="1" applyFill="1"/>
    <xf numFmtId="0" fontId="4" fillId="8" borderId="0" xfId="0" applyFont="1" applyFill="1"/>
    <xf numFmtId="0" fontId="3" fillId="5" borderId="0" xfId="0" applyFont="1" applyFill="1" applyAlignment="1">
      <alignment horizontal="center" vertical="center" wrapText="1"/>
    </xf>
    <xf numFmtId="165" fontId="13" fillId="8" borderId="2" xfId="0" applyNumberFormat="1" applyFont="1" applyFill="1" applyBorder="1" applyAlignment="1">
      <alignment horizontal="center" vertical="center"/>
    </xf>
    <xf numFmtId="166" fontId="13" fillId="8" borderId="2" xfId="0" applyNumberFormat="1" applyFont="1" applyFill="1" applyBorder="1" applyAlignment="1">
      <alignment horizontal="center" vertical="center"/>
    </xf>
    <xf numFmtId="167" fontId="13" fillId="8" borderId="2" xfId="0" applyNumberFormat="1" applyFont="1" applyFill="1" applyBorder="1" applyAlignment="1">
      <alignment horizontal="center" vertical="center"/>
    </xf>
    <xf numFmtId="165" fontId="13" fillId="9" borderId="2" xfId="0" applyNumberFormat="1" applyFont="1" applyFill="1" applyBorder="1" applyAlignment="1">
      <alignment horizontal="center" vertical="center"/>
    </xf>
    <xf numFmtId="166" fontId="13" fillId="9" borderId="2" xfId="0" applyNumberFormat="1" applyFont="1" applyFill="1" applyBorder="1" applyAlignment="1">
      <alignment horizontal="center" vertical="center"/>
    </xf>
    <xf numFmtId="167" fontId="13" fillId="9" borderId="2" xfId="0" applyNumberFormat="1" applyFont="1" applyFill="1" applyBorder="1" applyAlignment="1">
      <alignment horizontal="center" vertical="center"/>
    </xf>
    <xf numFmtId="0" fontId="3" fillId="2" borderId="0" xfId="0" applyFont="1" applyFill="1" applyAlignment="1">
      <alignment horizontal="left" vertical="center" indent="1"/>
    </xf>
    <xf numFmtId="165" fontId="3" fillId="2" borderId="0" xfId="0" applyNumberFormat="1" applyFont="1" applyFill="1" applyAlignment="1">
      <alignment horizontal="center" vertical="center"/>
    </xf>
    <xf numFmtId="166" fontId="3" fillId="2" borderId="0" xfId="0" applyNumberFormat="1" applyFont="1" applyFill="1" applyAlignment="1">
      <alignment horizontal="center" vertical="center"/>
    </xf>
    <xf numFmtId="167" fontId="3" fillId="2" borderId="0" xfId="0" applyNumberFormat="1" applyFont="1" applyFill="1" applyAlignment="1">
      <alignment horizontal="center" vertical="center"/>
    </xf>
    <xf numFmtId="0" fontId="0" fillId="7" borderId="0" xfId="0" applyFill="1"/>
    <xf numFmtId="0" fontId="15" fillId="7" borderId="0" xfId="0" applyFont="1" applyFill="1" applyAlignment="1">
      <alignment horizontal="center"/>
    </xf>
    <xf numFmtId="0" fontId="16" fillId="0" borderId="0" xfId="0" applyFont="1"/>
    <xf numFmtId="0" fontId="18" fillId="0" borderId="0" xfId="0" applyFont="1"/>
    <xf numFmtId="0" fontId="3" fillId="5" borderId="0" xfId="0" applyFont="1" applyFill="1" applyAlignment="1">
      <alignment horizontal="center" vertical="center"/>
    </xf>
    <xf numFmtId="0" fontId="13" fillId="8" borderId="2" xfId="0" applyFont="1" applyFill="1" applyBorder="1" applyAlignment="1">
      <alignment horizontal="left" vertical="center" indent="1"/>
    </xf>
    <xf numFmtId="0" fontId="7" fillId="8" borderId="2" xfId="0" applyFont="1" applyFill="1" applyBorder="1" applyAlignment="1">
      <alignment horizontal="center" vertical="center"/>
    </xf>
    <xf numFmtId="0" fontId="19" fillId="8" borderId="2" xfId="0" applyFont="1" applyFill="1" applyBorder="1" applyAlignment="1">
      <alignment horizontal="center" vertical="center"/>
    </xf>
    <xf numFmtId="0" fontId="13" fillId="8" borderId="2" xfId="0" applyFont="1" applyFill="1" applyBorder="1" applyAlignment="1">
      <alignment horizontal="center" vertical="center"/>
    </xf>
    <xf numFmtId="0" fontId="19" fillId="8" borderId="2" xfId="0" applyFont="1" applyFill="1" applyBorder="1" applyAlignment="1">
      <alignment horizontal="left" vertical="center" indent="1"/>
    </xf>
    <xf numFmtId="164" fontId="14" fillId="8" borderId="2" xfId="0" applyNumberFormat="1" applyFont="1" applyFill="1" applyBorder="1" applyAlignment="1">
      <alignment horizontal="center" vertical="center"/>
    </xf>
    <xf numFmtId="0" fontId="19" fillId="8" borderId="0" xfId="0" applyFont="1" applyFill="1" applyAlignment="1">
      <alignment horizontal="center" vertical="center"/>
    </xf>
    <xf numFmtId="165" fontId="19" fillId="8" borderId="0" xfId="0" applyNumberFormat="1" applyFont="1" applyFill="1" applyAlignment="1">
      <alignment horizontal="center" vertical="center"/>
    </xf>
    <xf numFmtId="0" fontId="13" fillId="9" borderId="2" xfId="0" applyFont="1" applyFill="1" applyBorder="1" applyAlignment="1">
      <alignment horizontal="left" vertical="center" indent="1"/>
    </xf>
    <xf numFmtId="0" fontId="7" fillId="9" borderId="2" xfId="0" applyFont="1" applyFill="1" applyBorder="1" applyAlignment="1">
      <alignment horizontal="center" vertical="center"/>
    </xf>
    <xf numFmtId="0" fontId="19" fillId="9" borderId="2" xfId="0" applyFont="1" applyFill="1" applyBorder="1" applyAlignment="1">
      <alignment horizontal="center" vertical="center"/>
    </xf>
    <xf numFmtId="0" fontId="13" fillId="9" borderId="2" xfId="0" applyFont="1" applyFill="1" applyBorder="1" applyAlignment="1">
      <alignment horizontal="center" vertical="center"/>
    </xf>
    <xf numFmtId="0" fontId="19" fillId="9" borderId="2" xfId="0" applyFont="1" applyFill="1" applyBorder="1" applyAlignment="1">
      <alignment horizontal="left" vertical="center" indent="1"/>
    </xf>
    <xf numFmtId="164" fontId="14" fillId="9" borderId="2" xfId="0" applyNumberFormat="1" applyFont="1" applyFill="1" applyBorder="1" applyAlignment="1">
      <alignment horizontal="center" vertical="center"/>
    </xf>
    <xf numFmtId="0" fontId="19" fillId="9" borderId="0" xfId="0" applyFont="1" applyFill="1" applyAlignment="1">
      <alignment horizontal="center" vertical="center"/>
    </xf>
    <xf numFmtId="165" fontId="19" fillId="9" borderId="0" xfId="0" applyNumberFormat="1" applyFont="1" applyFill="1" applyAlignment="1">
      <alignment horizontal="center" vertical="center"/>
    </xf>
    <xf numFmtId="0" fontId="13" fillId="9" borderId="0" xfId="0" applyFont="1" applyFill="1" applyAlignment="1">
      <alignment horizontal="center" vertical="center"/>
    </xf>
    <xf numFmtId="165" fontId="13" fillId="9" borderId="0" xfId="0" applyNumberFormat="1" applyFont="1" applyFill="1" applyAlignment="1">
      <alignment horizontal="center" vertical="center"/>
    </xf>
    <xf numFmtId="0" fontId="13" fillId="8" borderId="0" xfId="0" applyFont="1" applyFill="1" applyAlignment="1">
      <alignment horizontal="center" vertical="center"/>
    </xf>
    <xf numFmtId="165" fontId="13" fillId="8" borderId="0" xfId="0" applyNumberFormat="1" applyFont="1" applyFill="1" applyAlignment="1">
      <alignment horizontal="center" vertical="center"/>
    </xf>
    <xf numFmtId="164" fontId="13" fillId="8" borderId="2" xfId="0" applyNumberFormat="1" applyFont="1" applyFill="1" applyBorder="1" applyAlignment="1">
      <alignment horizontal="center" vertical="center"/>
    </xf>
    <xf numFmtId="164" fontId="13" fillId="9" borderId="2" xfId="0" applyNumberFormat="1" applyFont="1" applyFill="1" applyBorder="1" applyAlignment="1">
      <alignment horizontal="center" vertical="center"/>
    </xf>
    <xf numFmtId="0" fontId="20" fillId="9" borderId="2" xfId="0" applyFont="1" applyFill="1" applyBorder="1" applyAlignment="1">
      <alignment horizontal="center" vertical="center"/>
    </xf>
    <xf numFmtId="0" fontId="20" fillId="9" borderId="2" xfId="0" applyFont="1" applyFill="1" applyBorder="1" applyAlignment="1">
      <alignment horizontal="left" vertical="center" indent="1"/>
    </xf>
    <xf numFmtId="0" fontId="20" fillId="8" borderId="2" xfId="0" applyFont="1" applyFill="1" applyBorder="1" applyAlignment="1">
      <alignment horizontal="center" vertical="center"/>
    </xf>
    <xf numFmtId="0" fontId="20" fillId="8" borderId="2" xfId="0" applyFont="1" applyFill="1" applyBorder="1" applyAlignment="1">
      <alignment horizontal="left" vertical="center" indent="1"/>
    </xf>
    <xf numFmtId="0" fontId="3" fillId="2" borderId="0" xfId="0" applyFont="1" applyFill="1" applyAlignment="1">
      <alignment horizontal="center" vertical="center"/>
    </xf>
    <xf numFmtId="164" fontId="3" fillId="2" borderId="0" xfId="0" applyNumberFormat="1" applyFont="1" applyFill="1" applyAlignment="1">
      <alignment horizontal="center" vertical="center"/>
    </xf>
    <xf numFmtId="0" fontId="21" fillId="7" borderId="0" xfId="0" applyFont="1" applyFill="1" applyAlignment="1">
      <alignment horizontal="left" vertical="center" indent="1"/>
    </xf>
    <xf numFmtId="0" fontId="19" fillId="7" borderId="0" xfId="0" applyFont="1" applyFill="1" applyAlignment="1">
      <alignment horizontal="left" vertical="center" indent="1"/>
    </xf>
    <xf numFmtId="0" fontId="19" fillId="0" borderId="0" xfId="0" applyFont="1"/>
    <xf numFmtId="0" fontId="23" fillId="0" borderId="0" xfId="0" applyFont="1"/>
    <xf numFmtId="0" fontId="22" fillId="3" borderId="0" xfId="0" applyFont="1" applyFill="1" applyAlignment="1">
      <alignment horizontal="left" vertical="center" indent="1"/>
    </xf>
    <xf numFmtId="0" fontId="8" fillId="2" borderId="0" xfId="0" applyFont="1" applyFill="1" applyAlignment="1">
      <alignment horizontal="left" vertical="center" indent="1"/>
    </xf>
    <xf numFmtId="0" fontId="2" fillId="3" borderId="0" xfId="0" applyFont="1" applyFill="1" applyAlignment="1">
      <alignment horizontal="left" vertical="center" indent="1"/>
    </xf>
    <xf numFmtId="165" fontId="17" fillId="8" borderId="0" xfId="0" applyNumberFormat="1" applyFont="1" applyFill="1" applyAlignment="1">
      <alignment horizontal="center" vertical="center"/>
    </xf>
    <xf numFmtId="169" fontId="17" fillId="8" borderId="0" xfId="0" applyNumberFormat="1" applyFont="1" applyFill="1" applyAlignment="1">
      <alignment horizontal="center" vertical="center"/>
    </xf>
    <xf numFmtId="2" fontId="17" fillId="8" borderId="0" xfId="0" applyNumberFormat="1" applyFont="1" applyFill="1" applyAlignment="1">
      <alignment horizontal="center" vertical="center"/>
    </xf>
    <xf numFmtId="0" fontId="1" fillId="2" borderId="0" xfId="0" applyFont="1" applyFill="1" applyAlignment="1">
      <alignment horizontal="left" vertical="center" indent="1"/>
    </xf>
    <xf numFmtId="0" fontId="12" fillId="9" borderId="2" xfId="0" applyFont="1" applyFill="1" applyBorder="1" applyAlignment="1">
      <alignment horizontal="left" vertical="center" indent="1"/>
    </xf>
    <xf numFmtId="0" fontId="12" fillId="8" borderId="2" xfId="0" applyFont="1" applyFill="1" applyBorder="1" applyAlignment="1">
      <alignment horizontal="left" vertical="center" indent="1"/>
    </xf>
    <xf numFmtId="0" fontId="3" fillId="2" borderId="0" xfId="0" applyFont="1" applyFill="1" applyAlignment="1">
      <alignment horizontal="left" vertical="center" indent="1"/>
    </xf>
    <xf numFmtId="0" fontId="14" fillId="7" borderId="0" xfId="0" applyFont="1" applyFill="1" applyAlignment="1">
      <alignment horizontal="left" vertical="center" indent="1"/>
    </xf>
    <xf numFmtId="0" fontId="6" fillId="4" borderId="0" xfId="0" applyFont="1" applyFill="1" applyAlignment="1">
      <alignment horizontal="left" vertical="center" indent="1"/>
    </xf>
    <xf numFmtId="0" fontId="3" fillId="5" borderId="0" xfId="0" applyFont="1" applyFill="1" applyAlignment="1">
      <alignment horizontal="left" vertical="center" wrapText="1" indent="1"/>
    </xf>
    <xf numFmtId="168" fontId="11" fillId="8" borderId="0" xfId="0" applyNumberFormat="1" applyFont="1" applyFill="1" applyAlignment="1">
      <alignment horizontal="center" vertical="center"/>
    </xf>
    <xf numFmtId="170" fontId="11" fillId="8" borderId="0" xfId="0" applyNumberFormat="1" applyFont="1" applyFill="1" applyAlignment="1">
      <alignment horizontal="center" vertical="center"/>
    </xf>
    <xf numFmtId="165" fontId="11" fillId="8" borderId="0" xfId="0" applyNumberFormat="1" applyFont="1" applyFill="1" applyAlignment="1">
      <alignment horizontal="center" vertical="center"/>
    </xf>
    <xf numFmtId="0" fontId="10" fillId="8" borderId="0" xfId="0" applyFont="1" applyFill="1" applyAlignment="1">
      <alignment horizontal="center" vertical="center"/>
    </xf>
    <xf numFmtId="169" fontId="11" fillId="8" borderId="0" xfId="0" applyNumberFormat="1" applyFont="1" applyFill="1" applyAlignment="1">
      <alignment horizontal="center" vertical="center"/>
    </xf>
    <xf numFmtId="167" fontId="11" fillId="8" borderId="0" xfId="0" applyNumberFormat="1" applyFont="1" applyFill="1" applyAlignment="1">
      <alignment horizontal="center" vertical="center"/>
    </xf>
    <xf numFmtId="0" fontId="9" fillId="2" borderId="0" xfId="0" applyFont="1" applyFill="1" applyAlignment="1">
      <alignment horizontal="righ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7E"/>
      <rgbColor rgb="FFC0C0C0"/>
      <rgbColor rgb="FF6B7B88"/>
      <rgbColor rgb="FF9999FF"/>
      <rgbColor rgb="FF993366"/>
      <rgbColor rgb="FFF7FAFB"/>
      <rgbColor rgb="FFD9F2F6"/>
      <rgbColor rgb="FF660066"/>
      <rgbColor rgb="FFFF8080"/>
      <rgbColor rgb="FF0066CC"/>
      <rgbColor rgb="FFDCE5EA"/>
      <rgbColor rgb="FF000080"/>
      <rgbColor rgb="FFFF00FF"/>
      <rgbColor rgb="FFFFFF00"/>
      <rgbColor rgb="FF00FFFF"/>
      <rgbColor rgb="FF800080"/>
      <rgbColor rgb="FF800000"/>
      <rgbColor rgb="FF008080"/>
      <rgbColor rgb="FF0000FF"/>
      <rgbColor rgb="FF00A9BC"/>
      <rgbColor rgb="FFE8EEF1"/>
      <rgbColor rgb="FFEEF3F5"/>
      <rgbColor rgb="FFF3F5F7"/>
      <rgbColor rgb="FFB4E6ED"/>
      <rgbColor rgb="FFFF99CC"/>
      <rgbColor rgb="FFCC99FF"/>
      <rgbColor rgb="FFEFF3F5"/>
      <rgbColor rgb="FF4F81BD"/>
      <rgbColor rgb="FF6FD4E0"/>
      <rgbColor rgb="FF99CC00"/>
      <rgbColor rgb="FFFFCC00"/>
      <rgbColor rgb="FFFF9900"/>
      <rgbColor rgb="FFFF6600"/>
      <rgbColor rgb="FF4C5C68"/>
      <rgbColor rgb="FF7FA8B0"/>
      <rgbColor rgb="FF0E4C55"/>
      <rgbColor rgb="FF339966"/>
      <rgbColor rgb="FF12212B"/>
      <rgbColor rgb="FF333300"/>
      <rgbColor rgb="FFB45309"/>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strRef>
              <c:f>'Campaign Data'!$H$4</c:f>
              <c:strCache>
                <c:ptCount val="1"/>
                <c:pt idx="0">
                  <c:v>Allocated Budget (SAR)</c:v>
                </c:pt>
              </c:strCache>
            </c:strRef>
          </c:tx>
          <c:spPr>
            <a:solidFill>
              <a:srgbClr val="B4E6E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'Campaign Data'!$A$5:$A$21</c:f>
              <c:strCache>
                <c:ptCount val="13"/>
                <c:pt idx="0">
                  <c:v>2026 Nomuhup Carousell</c:v>
                </c:pt>
                <c:pt idx="1">
                  <c:v>retarget sales</c:v>
                </c:pt>
                <c:pt idx="2">
                  <c:v>ZNZ Build  MSG - 2026</c:v>
                </c:pt>
                <c:pt idx="3">
                  <c:v>Discount Code</c:v>
                </c:pt>
                <c:pt idx="4">
                  <c:v>Vietnam explore sales</c:v>
                </c:pt>
                <c:pt idx="5">
                  <c:v>Vietnam Explore MSG - 2026</c:v>
                </c:pt>
                <c:pt idx="6">
                  <c:v>Thailan Wellness MSG - 2026</c:v>
                </c:pt>
                <c:pt idx="7">
                  <c:v>Bali Explore Msgs CPO</c:v>
                </c:pt>
                <c:pt idx="8">
                  <c:v>ZNZ Explore Msgs CPO</c:v>
                </c:pt>
                <c:pt idx="9">
                  <c:v>ZNZ Medical - 2</c:v>
                </c:pt>
                <c:pt idx="10">
                  <c:v>ZNZ Build10%</c:v>
                </c:pt>
                <c:pt idx="11">
                  <c:v>Bali Explore 10%</c:v>
                </c:pt>
                <c:pt idx="12">
                  <c:v>Vietnam Explore 10%</c:v>
                </c:pt>
              </c:strCache>
            </c:strRef>
          </c:cat>
          <c:val>
            <c:numRef>
              <c:f>'Campaign Data'!$H$5:$H$21</c:f>
              <c:numCache>
                <c:formatCode>#,##0.00;\(#,##0.00\);\-</c:formatCode>
                <c:ptCount val="17"/>
              </c:numCache>
            </c:numRef>
          </c:val>
          <c:extLst>
            <c:ext xmlns:c16="http://schemas.microsoft.com/office/drawing/2014/chart" uri="{C3380CC4-5D6E-409C-BE32-E72D297353CC}">
              <c16:uniqueId val="{00000000-1643-F041-9AD6-BD453A7FEFE6}"/>
            </c:ext>
          </c:extLst>
        </c:ser>
        <c:ser>
          <c:idx val="1"/>
          <c:order val="1"/>
          <c:tx>
            <c:strRef>
              <c:f>'Campaign Data'!$I$4</c:f>
              <c:strCache>
                <c:ptCount val="1"/>
                <c:pt idx="0">
                  <c:v>Actual Spend (SAR)</c:v>
                </c:pt>
              </c:strCache>
            </c:strRef>
          </c:tx>
          <c:spPr>
            <a:solidFill>
              <a:srgbClr val="00707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'Campaign Data'!$A$5:$A$21</c:f>
              <c:strCache>
                <c:ptCount val="13"/>
                <c:pt idx="0">
                  <c:v>2026 Nomuhup Carousell</c:v>
                </c:pt>
                <c:pt idx="1">
                  <c:v>retarget sales</c:v>
                </c:pt>
                <c:pt idx="2">
                  <c:v>ZNZ Build  MSG - 2026</c:v>
                </c:pt>
                <c:pt idx="3">
                  <c:v>Discount Code</c:v>
                </c:pt>
                <c:pt idx="4">
                  <c:v>Vietnam explore sales</c:v>
                </c:pt>
                <c:pt idx="5">
                  <c:v>Vietnam Explore MSG - 2026</c:v>
                </c:pt>
                <c:pt idx="6">
                  <c:v>Thailan Wellness MSG - 2026</c:v>
                </c:pt>
                <c:pt idx="7">
                  <c:v>Bali Explore Msgs CPO</c:v>
                </c:pt>
                <c:pt idx="8">
                  <c:v>ZNZ Explore Msgs CPO</c:v>
                </c:pt>
                <c:pt idx="9">
                  <c:v>ZNZ Medical - 2</c:v>
                </c:pt>
                <c:pt idx="10">
                  <c:v>ZNZ Build10%</c:v>
                </c:pt>
                <c:pt idx="11">
                  <c:v>Bali Explore 10%</c:v>
                </c:pt>
                <c:pt idx="12">
                  <c:v>Vietnam Explore 10%</c:v>
                </c:pt>
              </c:strCache>
            </c:strRef>
          </c:cat>
          <c:val>
            <c:numRef>
              <c:f>'Campaign Data'!$I$5:$I$21</c:f>
              <c:numCache>
                <c:formatCode>#,##0.00;\(#,##0.00\);\-</c:formatCode>
                <c:ptCount val="17"/>
                <c:pt idx="0">
                  <c:v>7463.84</c:v>
                </c:pt>
                <c:pt idx="1">
                  <c:v>2206.83</c:v>
                </c:pt>
                <c:pt idx="2">
                  <c:v>2160.4699999999998</c:v>
                </c:pt>
                <c:pt idx="3">
                  <c:v>2133.61</c:v>
                </c:pt>
                <c:pt idx="4">
                  <c:v>1687.16</c:v>
                </c:pt>
                <c:pt idx="5">
                  <c:v>1082.58</c:v>
                </c:pt>
                <c:pt idx="6">
                  <c:v>982.25</c:v>
                </c:pt>
                <c:pt idx="7">
                  <c:v>589.51</c:v>
                </c:pt>
                <c:pt idx="8">
                  <c:v>463.59</c:v>
                </c:pt>
                <c:pt idx="9">
                  <c:v>306.55</c:v>
                </c:pt>
                <c:pt idx="10">
                  <c:v>61.15</c:v>
                </c:pt>
                <c:pt idx="11">
                  <c:v>57.98</c:v>
                </c:pt>
                <c:pt idx="12">
                  <c:v>55.44</c:v>
                </c:pt>
              </c:numCache>
            </c:numRef>
          </c:val>
          <c:extLst>
            <c:ext xmlns:c16="http://schemas.microsoft.com/office/drawing/2014/chart" uri="{C3380CC4-5D6E-409C-BE32-E72D297353CC}">
              <c16:uniqueId val="{00000001-1643-F041-9AD6-BD453A7FEFE6}"/>
            </c:ext>
          </c:extLst>
        </c:ser>
        <c:dLbls>
          <c:showLegendKey val="0"/>
          <c:showVal val="0"/>
          <c:showCatName val="0"/>
          <c:showSerName val="0"/>
          <c:showPercent val="0"/>
          <c:showBubbleSize val="0"/>
        </c:dLbls>
        <c:gapWidth val="50"/>
        <c:overlap val="-15"/>
        <c:axId val="17713722"/>
        <c:axId val="24138652"/>
      </c:barChart>
      <c:catAx>
        <c:axId val="17713722"/>
        <c:scaling>
          <c:orientation val="minMax"/>
        </c:scaling>
        <c:delete val="0"/>
        <c:axPos val="b"/>
        <c:numFmt formatCode="General" sourceLinked="0"/>
        <c:majorTickMark val="none"/>
        <c:minorTickMark val="none"/>
        <c:tickLblPos val="nextTo"/>
        <c:spPr>
          <a:ln w="9360">
            <a:solidFill>
              <a:srgbClr val="DCE5EA"/>
            </a:solidFill>
            <a:round/>
          </a:ln>
        </c:spPr>
        <c:txPr>
          <a:bodyPr rot="-5400000"/>
          <a:lstStyle/>
          <a:p>
            <a:pPr>
              <a:defRPr sz="700" b="0" strike="noStrike" spc="-1">
                <a:solidFill>
                  <a:srgbClr val="12212B"/>
                </a:solidFill>
                <a:latin typeface="Arial"/>
              </a:defRPr>
            </a:pPr>
            <a:endParaRPr lang="en-US"/>
          </a:p>
        </c:txPr>
        <c:crossAx val="24138652"/>
        <c:crosses val="autoZero"/>
        <c:auto val="1"/>
        <c:lblAlgn val="ctr"/>
        <c:lblOffset val="100"/>
        <c:noMultiLvlLbl val="0"/>
      </c:catAx>
      <c:valAx>
        <c:axId val="24138652"/>
        <c:scaling>
          <c:orientation val="minMax"/>
          <c:min val="0"/>
        </c:scaling>
        <c:delete val="0"/>
        <c:axPos val="l"/>
        <c:majorGridlines>
          <c:spPr>
            <a:ln w="9360">
              <a:solidFill>
                <a:srgbClr val="E8EEF1"/>
              </a:solidFill>
              <a:round/>
            </a:ln>
          </c:spPr>
        </c:majorGridlines>
        <c:numFmt formatCode="#,##0" sourceLinked="0"/>
        <c:majorTickMark val="none"/>
        <c:minorTickMark val="none"/>
        <c:tickLblPos val="nextTo"/>
        <c:spPr>
          <a:ln w="9360">
            <a:solidFill>
              <a:srgbClr val="DCE5EA"/>
            </a:solidFill>
            <a:round/>
          </a:ln>
        </c:spPr>
        <c:txPr>
          <a:bodyPr/>
          <a:lstStyle/>
          <a:p>
            <a:pPr>
              <a:defRPr sz="800" b="0" strike="noStrike" spc="-1">
                <a:solidFill>
                  <a:srgbClr val="12212B"/>
                </a:solidFill>
                <a:latin typeface="Arial"/>
              </a:defRPr>
            </a:pPr>
            <a:endParaRPr lang="en-US"/>
          </a:p>
        </c:txPr>
        <c:crossAx val="17713722"/>
        <c:crosses val="autoZero"/>
        <c:crossBetween val="between"/>
      </c:valAx>
      <c:spPr>
        <a:noFill/>
        <a:ln w="0">
          <a:noFill/>
        </a:ln>
      </c:spPr>
    </c:plotArea>
    <c:legend>
      <c:legendPos val="b"/>
      <c:overlay val="0"/>
      <c:spPr>
        <a:noFill/>
        <a:ln w="0">
          <a:noFill/>
        </a:ln>
      </c:spPr>
      <c:txPr>
        <a:bodyPr/>
        <a:lstStyle/>
        <a:p>
          <a:pPr>
            <a:defRPr sz="800" b="0" strike="noStrike" spc="-1">
              <a:solidFill>
                <a:srgbClr val="12212B"/>
              </a:solidFill>
              <a:latin typeface="Arial"/>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strRef>
              <c:f>'Campaign Data'!$J$4</c:f>
              <c:strCache>
                <c:ptCount val="1"/>
                <c:pt idx="0">
                  <c:v>Results</c:v>
                </c:pt>
              </c:strCache>
            </c:strRef>
          </c:tx>
          <c:spPr>
            <a:solidFill>
              <a:srgbClr val="00A9B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'Campaign Data'!$A$5:$A$21</c:f>
              <c:strCache>
                <c:ptCount val="13"/>
                <c:pt idx="0">
                  <c:v>2026 Nomuhup Carousell</c:v>
                </c:pt>
                <c:pt idx="1">
                  <c:v>retarget sales</c:v>
                </c:pt>
                <c:pt idx="2">
                  <c:v>ZNZ Build  MSG - 2026</c:v>
                </c:pt>
                <c:pt idx="3">
                  <c:v>Discount Code</c:v>
                </c:pt>
                <c:pt idx="4">
                  <c:v>Vietnam explore sales</c:v>
                </c:pt>
                <c:pt idx="5">
                  <c:v>Vietnam Explore MSG - 2026</c:v>
                </c:pt>
                <c:pt idx="6">
                  <c:v>Thailan Wellness MSG - 2026</c:v>
                </c:pt>
                <c:pt idx="7">
                  <c:v>Bali Explore Msgs CPO</c:v>
                </c:pt>
                <c:pt idx="8">
                  <c:v>ZNZ Explore Msgs CPO</c:v>
                </c:pt>
                <c:pt idx="9">
                  <c:v>ZNZ Medical - 2</c:v>
                </c:pt>
                <c:pt idx="10">
                  <c:v>ZNZ Build10%</c:v>
                </c:pt>
                <c:pt idx="11">
                  <c:v>Bali Explore 10%</c:v>
                </c:pt>
                <c:pt idx="12">
                  <c:v>Vietnam Explore 10%</c:v>
                </c:pt>
              </c:strCache>
            </c:strRef>
          </c:cat>
          <c:val>
            <c:numRef>
              <c:f>'Campaign Data'!$J$5:$J$21</c:f>
              <c:numCache>
                <c:formatCode>#,##0;\(#,##0\);\-</c:formatCode>
                <c:ptCount val="17"/>
                <c:pt idx="0">
                  <c:v>393</c:v>
                </c:pt>
                <c:pt idx="1">
                  <c:v>4</c:v>
                </c:pt>
                <c:pt idx="2">
                  <c:v>163</c:v>
                </c:pt>
                <c:pt idx="3">
                  <c:v>149</c:v>
                </c:pt>
                <c:pt idx="4">
                  <c:v>1</c:v>
                </c:pt>
                <c:pt idx="5">
                  <c:v>19</c:v>
                </c:pt>
                <c:pt idx="6">
                  <c:v>46</c:v>
                </c:pt>
                <c:pt idx="7">
                  <c:v>25</c:v>
                </c:pt>
                <c:pt idx="8">
                  <c:v>17</c:v>
                </c:pt>
                <c:pt idx="9">
                  <c:v>43</c:v>
                </c:pt>
                <c:pt idx="10">
                  <c:v>12</c:v>
                </c:pt>
                <c:pt idx="11">
                  <c:v>7</c:v>
                </c:pt>
                <c:pt idx="12">
                  <c:v>3</c:v>
                </c:pt>
              </c:numCache>
            </c:numRef>
          </c:val>
          <c:extLst>
            <c:ext xmlns:c16="http://schemas.microsoft.com/office/drawing/2014/chart" uri="{C3380CC4-5D6E-409C-BE32-E72D297353CC}">
              <c16:uniqueId val="{00000000-1558-904A-852D-7D68E3709DBA}"/>
            </c:ext>
          </c:extLst>
        </c:ser>
        <c:dLbls>
          <c:showLegendKey val="0"/>
          <c:showVal val="0"/>
          <c:showCatName val="0"/>
          <c:showSerName val="0"/>
          <c:showPercent val="0"/>
          <c:showBubbleSize val="0"/>
        </c:dLbls>
        <c:gapWidth val="50"/>
        <c:overlap val="-15"/>
        <c:axId val="73361639"/>
        <c:axId val="12403781"/>
      </c:barChart>
      <c:catAx>
        <c:axId val="73361639"/>
        <c:scaling>
          <c:orientation val="minMax"/>
        </c:scaling>
        <c:delete val="0"/>
        <c:axPos val="b"/>
        <c:numFmt formatCode="General" sourceLinked="0"/>
        <c:majorTickMark val="none"/>
        <c:minorTickMark val="none"/>
        <c:tickLblPos val="nextTo"/>
        <c:spPr>
          <a:ln w="9360">
            <a:solidFill>
              <a:srgbClr val="DCE5EA"/>
            </a:solidFill>
            <a:round/>
          </a:ln>
        </c:spPr>
        <c:txPr>
          <a:bodyPr rot="-5400000"/>
          <a:lstStyle/>
          <a:p>
            <a:pPr>
              <a:defRPr sz="700" b="0" strike="noStrike" spc="-1">
                <a:solidFill>
                  <a:srgbClr val="12212B"/>
                </a:solidFill>
                <a:latin typeface="Arial"/>
              </a:defRPr>
            </a:pPr>
            <a:endParaRPr lang="en-US"/>
          </a:p>
        </c:txPr>
        <c:crossAx val="12403781"/>
        <c:crosses val="autoZero"/>
        <c:auto val="1"/>
        <c:lblAlgn val="ctr"/>
        <c:lblOffset val="100"/>
        <c:noMultiLvlLbl val="0"/>
      </c:catAx>
      <c:valAx>
        <c:axId val="12403781"/>
        <c:scaling>
          <c:orientation val="minMax"/>
          <c:min val="0"/>
        </c:scaling>
        <c:delete val="0"/>
        <c:axPos val="l"/>
        <c:majorGridlines>
          <c:spPr>
            <a:ln w="9360">
              <a:solidFill>
                <a:srgbClr val="E8EEF1"/>
              </a:solidFill>
              <a:round/>
            </a:ln>
          </c:spPr>
        </c:majorGridlines>
        <c:numFmt formatCode="#,##0" sourceLinked="0"/>
        <c:majorTickMark val="none"/>
        <c:minorTickMark val="none"/>
        <c:tickLblPos val="nextTo"/>
        <c:spPr>
          <a:ln w="9360">
            <a:solidFill>
              <a:srgbClr val="DCE5EA"/>
            </a:solidFill>
            <a:round/>
          </a:ln>
        </c:spPr>
        <c:txPr>
          <a:bodyPr/>
          <a:lstStyle/>
          <a:p>
            <a:pPr>
              <a:defRPr sz="800" b="0" strike="noStrike" spc="-1">
                <a:solidFill>
                  <a:srgbClr val="12212B"/>
                </a:solidFill>
                <a:latin typeface="Arial"/>
              </a:defRPr>
            </a:pPr>
            <a:endParaRPr lang="en-US"/>
          </a:p>
        </c:txPr>
        <c:crossAx val="73361639"/>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doughnutChart>
        <c:varyColors val="1"/>
        <c:ser>
          <c:idx val="0"/>
          <c:order val="0"/>
          <c:tx>
            <c:strRef>
              <c:f>Dashboard!$F$36</c:f>
              <c:strCache>
                <c:ptCount val="1"/>
                <c:pt idx="0">
                  <c:v>Spend</c:v>
                </c:pt>
              </c:strCache>
            </c:strRef>
          </c:tx>
          <c:spPr>
            <a:solidFill>
              <a:srgbClr val="4F81BD"/>
            </a:solidFill>
            <a:ln w="0">
              <a:noFill/>
            </a:ln>
          </c:spPr>
          <c:dPt>
            <c:idx val="0"/>
            <c:bubble3D val="0"/>
            <c:spPr>
              <a:solidFill>
                <a:srgbClr val="00A9BC"/>
              </a:solidFill>
              <a:ln w="15840">
                <a:solidFill>
                  <a:srgbClr val="FFFFFF"/>
                </a:solidFill>
                <a:round/>
              </a:ln>
            </c:spPr>
            <c:extLst>
              <c:ext xmlns:c16="http://schemas.microsoft.com/office/drawing/2014/chart" uri="{C3380CC4-5D6E-409C-BE32-E72D297353CC}">
                <c16:uniqueId val="{00000001-41DC-B14F-B6B4-DF86553F2DFB}"/>
              </c:ext>
            </c:extLst>
          </c:dPt>
          <c:dPt>
            <c:idx val="1"/>
            <c:bubble3D val="0"/>
            <c:spPr>
              <a:solidFill>
                <a:srgbClr val="00707E"/>
              </a:solidFill>
              <a:ln w="15840">
                <a:solidFill>
                  <a:srgbClr val="FFFFFF"/>
                </a:solidFill>
                <a:round/>
              </a:ln>
            </c:spPr>
            <c:extLst>
              <c:ext xmlns:c16="http://schemas.microsoft.com/office/drawing/2014/chart" uri="{C3380CC4-5D6E-409C-BE32-E72D297353CC}">
                <c16:uniqueId val="{00000003-41DC-B14F-B6B4-DF86553F2DFB}"/>
              </c:ext>
            </c:extLst>
          </c:dPt>
          <c:dPt>
            <c:idx val="2"/>
            <c:bubble3D val="0"/>
            <c:spPr>
              <a:solidFill>
                <a:srgbClr val="6FD4E0"/>
              </a:solidFill>
              <a:ln w="15840">
                <a:solidFill>
                  <a:srgbClr val="FFFFFF"/>
                </a:solidFill>
                <a:round/>
              </a:ln>
            </c:spPr>
            <c:extLst>
              <c:ext xmlns:c16="http://schemas.microsoft.com/office/drawing/2014/chart" uri="{C3380CC4-5D6E-409C-BE32-E72D297353CC}">
                <c16:uniqueId val="{00000005-41DC-B14F-B6B4-DF86553F2DFB}"/>
              </c:ext>
            </c:extLst>
          </c:dPt>
          <c:dPt>
            <c:idx val="3"/>
            <c:bubble3D val="0"/>
            <c:spPr>
              <a:solidFill>
                <a:srgbClr val="0E4C55"/>
              </a:solidFill>
              <a:ln w="15840">
                <a:solidFill>
                  <a:srgbClr val="FFFFFF"/>
                </a:solidFill>
                <a:round/>
              </a:ln>
            </c:spPr>
            <c:extLst>
              <c:ext xmlns:c16="http://schemas.microsoft.com/office/drawing/2014/chart" uri="{C3380CC4-5D6E-409C-BE32-E72D297353CC}">
                <c16:uniqueId val="{00000007-41DC-B14F-B6B4-DF86553F2DFB}"/>
              </c:ext>
            </c:extLst>
          </c:dPt>
          <c:dPt>
            <c:idx val="4"/>
            <c:bubble3D val="0"/>
            <c:spPr>
              <a:solidFill>
                <a:srgbClr val="B4E6ED"/>
              </a:solidFill>
              <a:ln w="15840">
                <a:solidFill>
                  <a:srgbClr val="FFFFFF"/>
                </a:solidFill>
                <a:round/>
              </a:ln>
            </c:spPr>
            <c:extLst>
              <c:ext xmlns:c16="http://schemas.microsoft.com/office/drawing/2014/chart" uri="{C3380CC4-5D6E-409C-BE32-E72D297353CC}">
                <c16:uniqueId val="{00000009-41DC-B14F-B6B4-DF86553F2DFB}"/>
              </c:ext>
            </c:extLst>
          </c:dPt>
          <c:dPt>
            <c:idx val="5"/>
            <c:bubble3D val="0"/>
            <c:spPr>
              <a:solidFill>
                <a:srgbClr val="7FA8B0"/>
              </a:solidFill>
              <a:ln w="15840">
                <a:solidFill>
                  <a:srgbClr val="FFFFFF"/>
                </a:solidFill>
                <a:round/>
              </a:ln>
            </c:spPr>
            <c:extLst>
              <c:ext xmlns:c16="http://schemas.microsoft.com/office/drawing/2014/chart" uri="{C3380CC4-5D6E-409C-BE32-E72D297353CC}">
                <c16:uniqueId val="{0000000B-41DC-B14F-B6B4-DF86553F2DFB}"/>
              </c:ext>
            </c:extLst>
          </c:dPt>
          <c:dLbls>
            <c:dLbl>
              <c:idx val="0"/>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41DC-B14F-B6B4-DF86553F2DFB}"/>
                </c:ext>
              </c:extLst>
            </c:dLbl>
            <c:dLbl>
              <c:idx val="1"/>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41DC-B14F-B6B4-DF86553F2DFB}"/>
                </c:ext>
              </c:extLst>
            </c:dLbl>
            <c:dLbl>
              <c:idx val="2"/>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41DC-B14F-B6B4-DF86553F2DFB}"/>
                </c:ext>
              </c:extLst>
            </c:dLbl>
            <c:dLbl>
              <c:idx val="3"/>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41DC-B14F-B6B4-DF86553F2DFB}"/>
                </c:ext>
              </c:extLst>
            </c:dLbl>
            <c:dLbl>
              <c:idx val="4"/>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41DC-B14F-B6B4-DF86553F2DFB}"/>
                </c:ext>
              </c:extLst>
            </c:dLbl>
            <c:dLbl>
              <c:idx val="5"/>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41DC-B14F-B6B4-DF86553F2DFB}"/>
                </c:ext>
              </c:extLst>
            </c:dLbl>
            <c:spPr>
              <a:noFill/>
              <a:ln>
                <a:noFill/>
              </a:ln>
              <a:effectLst/>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Dashboard!$B$37:$B$42</c:f>
              <c:strCache>
                <c:ptCount val="6"/>
                <c:pt idx="0">
                  <c:v>Messages</c:v>
                </c:pt>
                <c:pt idx="1">
                  <c:v>Purchases</c:v>
                </c:pt>
                <c:pt idx="2">
                  <c:v>Leads</c:v>
                </c:pt>
                <c:pt idx="3">
                  <c:v>Link Clicks</c:v>
                </c:pt>
                <c:pt idx="4">
                  <c:v>Reach</c:v>
                </c:pt>
                <c:pt idx="5">
                  <c:v>Custom Conversion</c:v>
                </c:pt>
              </c:strCache>
            </c:strRef>
          </c:cat>
          <c:val>
            <c:numRef>
              <c:f>Dashboard!$F$37:$F$42</c:f>
              <c:numCache>
                <c:formatCode>#,##0;\(#,##0\);\-</c:formatCode>
                <c:ptCount val="6"/>
                <c:pt idx="0">
                  <c:v>15356.97</c:v>
                </c:pt>
                <c:pt idx="1">
                  <c:v>3893.99</c:v>
                </c:pt>
                <c:pt idx="2">
                  <c:v>0</c:v>
                </c:pt>
                <c:pt idx="3">
                  <c:v>0</c:v>
                </c:pt>
                <c:pt idx="4">
                  <c:v>0</c:v>
                </c:pt>
                <c:pt idx="5">
                  <c:v>0</c:v>
                </c:pt>
              </c:numCache>
            </c:numRef>
          </c:val>
          <c:extLst>
            <c:ext xmlns:c16="http://schemas.microsoft.com/office/drawing/2014/chart" uri="{C3380CC4-5D6E-409C-BE32-E72D297353CC}">
              <c16:uniqueId val="{0000000C-41DC-B14F-B6B4-DF86553F2DFB}"/>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800" b="0" strike="noStrike" spc="-1">
              <a:solidFill>
                <a:srgbClr val="12212B"/>
              </a:solidFill>
              <a:latin typeface="Arial"/>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strRef>
              <c:f>'Previous Trips'!$U$8</c:f>
              <c:strCache>
                <c:ptCount val="1"/>
                <c:pt idx="0">
                  <c:v>Spend (SAR)</c:v>
                </c:pt>
              </c:strCache>
            </c:strRef>
          </c:tx>
          <c:spPr>
            <a:solidFill>
              <a:srgbClr val="00A9B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'Previous Trips'!$T$9:$T$15</c:f>
              <c:strCache>
                <c:ptCount val="7"/>
                <c:pt idx="0">
                  <c:v>2019</c:v>
                </c:pt>
                <c:pt idx="1">
                  <c:v>2021</c:v>
                </c:pt>
                <c:pt idx="2">
                  <c:v>2022</c:v>
                </c:pt>
                <c:pt idx="3">
                  <c:v>2023</c:v>
                </c:pt>
                <c:pt idx="4">
                  <c:v>2024</c:v>
                </c:pt>
                <c:pt idx="5">
                  <c:v>2025</c:v>
                </c:pt>
                <c:pt idx="6">
                  <c:v>Never delivered</c:v>
                </c:pt>
              </c:strCache>
            </c:strRef>
          </c:cat>
          <c:val>
            <c:numRef>
              <c:f>'Previous Trips'!$U$9:$U$15</c:f>
              <c:numCache>
                <c:formatCode>#,##0;\(#,##0\);\-</c:formatCode>
                <c:ptCount val="7"/>
                <c:pt idx="0">
                  <c:v>0</c:v>
                </c:pt>
                <c:pt idx="1">
                  <c:v>0</c:v>
                </c:pt>
                <c:pt idx="2">
                  <c:v>0</c:v>
                </c:pt>
                <c:pt idx="3">
                  <c:v>94094.419999999984</c:v>
                </c:pt>
                <c:pt idx="4">
                  <c:v>191208.71250000008</c:v>
                </c:pt>
                <c:pt idx="5">
                  <c:v>128943.05999999995</c:v>
                </c:pt>
                <c:pt idx="6">
                  <c:v>0</c:v>
                </c:pt>
              </c:numCache>
            </c:numRef>
          </c:val>
          <c:extLst>
            <c:ext xmlns:c16="http://schemas.microsoft.com/office/drawing/2014/chart" uri="{C3380CC4-5D6E-409C-BE32-E72D297353CC}">
              <c16:uniqueId val="{00000000-FF65-184C-9D8C-9B623C1B913B}"/>
            </c:ext>
          </c:extLst>
        </c:ser>
        <c:dLbls>
          <c:showLegendKey val="0"/>
          <c:showVal val="0"/>
          <c:showCatName val="0"/>
          <c:showSerName val="0"/>
          <c:showPercent val="0"/>
          <c:showBubbleSize val="0"/>
        </c:dLbls>
        <c:gapWidth val="55"/>
        <c:axId val="55016735"/>
        <c:axId val="26084079"/>
      </c:barChart>
      <c:catAx>
        <c:axId val="55016735"/>
        <c:scaling>
          <c:orientation val="minMax"/>
        </c:scaling>
        <c:delete val="0"/>
        <c:axPos val="b"/>
        <c:numFmt formatCode="General" sourceLinked="0"/>
        <c:majorTickMark val="none"/>
        <c:minorTickMark val="none"/>
        <c:tickLblPos val="nextTo"/>
        <c:spPr>
          <a:ln w="9360">
            <a:solidFill>
              <a:srgbClr val="DCE5EA"/>
            </a:solidFill>
            <a:round/>
          </a:ln>
        </c:spPr>
        <c:txPr>
          <a:bodyPr/>
          <a:lstStyle/>
          <a:p>
            <a:pPr>
              <a:defRPr sz="800" b="0" strike="noStrike" spc="-1">
                <a:solidFill>
                  <a:srgbClr val="12212B"/>
                </a:solidFill>
                <a:latin typeface="Arial"/>
              </a:defRPr>
            </a:pPr>
            <a:endParaRPr lang="en-US"/>
          </a:p>
        </c:txPr>
        <c:crossAx val="26084079"/>
        <c:crosses val="autoZero"/>
        <c:auto val="1"/>
        <c:lblAlgn val="ctr"/>
        <c:lblOffset val="100"/>
        <c:noMultiLvlLbl val="0"/>
      </c:catAx>
      <c:valAx>
        <c:axId val="26084079"/>
        <c:scaling>
          <c:orientation val="minMax"/>
          <c:min val="0"/>
        </c:scaling>
        <c:delete val="0"/>
        <c:axPos val="l"/>
        <c:majorGridlines>
          <c:spPr>
            <a:ln w="9360">
              <a:solidFill>
                <a:srgbClr val="E8EEF1"/>
              </a:solidFill>
              <a:round/>
            </a:ln>
          </c:spPr>
        </c:majorGridlines>
        <c:numFmt formatCode="#,##0" sourceLinked="0"/>
        <c:majorTickMark val="none"/>
        <c:minorTickMark val="none"/>
        <c:tickLblPos val="nextTo"/>
        <c:spPr>
          <a:ln w="9360">
            <a:solidFill>
              <a:srgbClr val="DCE5EA"/>
            </a:solidFill>
            <a:round/>
          </a:ln>
        </c:spPr>
        <c:txPr>
          <a:bodyPr/>
          <a:lstStyle/>
          <a:p>
            <a:pPr>
              <a:defRPr sz="800" b="0" strike="noStrike" spc="-1">
                <a:solidFill>
                  <a:srgbClr val="12212B"/>
                </a:solidFill>
                <a:latin typeface="Arial"/>
              </a:defRPr>
            </a:pPr>
            <a:endParaRPr lang="en-US"/>
          </a:p>
        </c:txPr>
        <c:crossAx val="55016735"/>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6</xdr:col>
      <xdr:colOff>386280</xdr:colOff>
      <xdr:row>31</xdr:row>
      <xdr:rowOff>136080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19</xdr:row>
      <xdr:rowOff>0</xdr:rowOff>
    </xdr:from>
    <xdr:to>
      <xdr:col>12</xdr:col>
      <xdr:colOff>480960</xdr:colOff>
      <xdr:row>31</xdr:row>
      <xdr:rowOff>136080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6</xdr:row>
      <xdr:rowOff>0</xdr:rowOff>
    </xdr:from>
    <xdr:to>
      <xdr:col>12</xdr:col>
      <xdr:colOff>770760</xdr:colOff>
      <xdr:row>14</xdr:row>
      <xdr:rowOff>288000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17</xdr:row>
      <xdr:rowOff>0</xdr:rowOff>
    </xdr:from>
    <xdr:to>
      <xdr:col>23</xdr:col>
      <xdr:colOff>176040</xdr:colOff>
      <xdr:row>28</xdr:row>
      <xdr:rowOff>34200</xdr:rowOff>
    </xdr:to>
    <xdr:graphicFrame macro="">
      <xdr:nvGraphicFramePr>
        <xdr:cNvPr id="3" name="Chart 1">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A9BC"/>
  </sheetPr>
  <dimension ref="A1:R24"/>
  <sheetViews>
    <sheetView showGridLines="0" tabSelected="1" zoomScaleNormal="100" workbookViewId="0">
      <pane ySplit="4" topLeftCell="A6" activePane="bottomLeft" state="frozen"/>
      <selection pane="bottomLeft" activeCell="I26" sqref="I26"/>
    </sheetView>
  </sheetViews>
  <sheetFormatPr baseColWidth="10" defaultColWidth="8.6640625" defaultRowHeight="15" x14ac:dyDescent="0.2"/>
  <cols>
    <col min="1" max="1" width="30" customWidth="1"/>
    <col min="2" max="4" width="12" customWidth="1"/>
    <col min="5" max="5" width="9" customWidth="1"/>
    <col min="6" max="6" width="11" customWidth="1"/>
    <col min="7" max="7" width="15" customWidth="1"/>
    <col min="8" max="9" width="14" customWidth="1"/>
    <col min="10" max="10" width="9" customWidth="1"/>
    <col min="11" max="11" width="12" customWidth="1"/>
    <col min="12" max="12" width="11" customWidth="1"/>
    <col min="13" max="13" width="10" customWidth="1"/>
    <col min="14" max="14" width="14" customWidth="1"/>
    <col min="15" max="15" width="11" customWidth="1"/>
    <col min="16" max="16" width="13" customWidth="1"/>
    <col min="17" max="18" width="10" customWidth="1"/>
  </cols>
  <sheetData>
    <row r="1" spans="1:18" ht="30" customHeight="1" x14ac:dyDescent="0.2">
      <c r="A1" s="78" t="s">
        <v>0</v>
      </c>
      <c r="B1" s="78"/>
      <c r="C1" s="78"/>
      <c r="D1" s="78"/>
      <c r="E1" s="78"/>
      <c r="F1" s="78"/>
      <c r="G1" s="78"/>
      <c r="H1" s="78"/>
      <c r="I1" s="78"/>
      <c r="J1" s="78"/>
      <c r="K1" s="78"/>
      <c r="L1" s="78"/>
      <c r="M1" s="78"/>
      <c r="N1" s="78"/>
      <c r="O1" s="78"/>
      <c r="P1" s="78"/>
      <c r="Q1" s="78"/>
      <c r="R1" s="78"/>
    </row>
    <row r="2" spans="1:18" ht="21.75" customHeight="1" x14ac:dyDescent="0.2">
      <c r="A2" s="74" t="s">
        <v>1</v>
      </c>
      <c r="B2" s="74"/>
      <c r="C2" s="74"/>
      <c r="D2" s="74"/>
      <c r="E2" s="74"/>
      <c r="F2" s="74"/>
      <c r="G2" s="74"/>
      <c r="H2" s="74"/>
      <c r="I2" s="74"/>
      <c r="J2" s="74"/>
      <c r="K2" s="74"/>
      <c r="L2" s="74"/>
      <c r="M2" s="74"/>
      <c r="N2" s="74"/>
      <c r="O2" s="74"/>
      <c r="P2" s="74"/>
      <c r="Q2" s="74"/>
      <c r="R2" s="74"/>
    </row>
    <row r="3" spans="1:18" ht="7.5" customHeight="1" x14ac:dyDescent="0.2"/>
    <row r="4" spans="1:18" ht="33.75" customHeight="1" x14ac:dyDescent="0.2">
      <c r="A4" s="2" t="s">
        <v>2</v>
      </c>
      <c r="B4" s="2" t="s">
        <v>3</v>
      </c>
      <c r="C4" s="2" t="s">
        <v>4</v>
      </c>
      <c r="D4" s="2" t="s">
        <v>5</v>
      </c>
      <c r="E4" s="2" t="s">
        <v>6</v>
      </c>
      <c r="F4" s="2" t="s">
        <v>7</v>
      </c>
      <c r="G4" s="2" t="s">
        <v>8</v>
      </c>
      <c r="H4" s="2" t="s">
        <v>9</v>
      </c>
      <c r="I4" s="2" t="s">
        <v>10</v>
      </c>
      <c r="J4" s="2" t="s">
        <v>11</v>
      </c>
      <c r="K4" s="2" t="s">
        <v>12</v>
      </c>
      <c r="L4" s="2" t="s">
        <v>13</v>
      </c>
      <c r="M4" s="2" t="s">
        <v>14</v>
      </c>
      <c r="N4" s="3" t="s">
        <v>15</v>
      </c>
      <c r="O4" s="3" t="s">
        <v>16</v>
      </c>
      <c r="P4" s="3" t="s">
        <v>17</v>
      </c>
      <c r="Q4" s="3" t="s">
        <v>18</v>
      </c>
      <c r="R4" s="3" t="s">
        <v>19</v>
      </c>
    </row>
    <row r="5" spans="1:18" ht="18.75" customHeight="1" x14ac:dyDescent="0.2">
      <c r="A5" s="4" t="s">
        <v>20</v>
      </c>
      <c r="B5" s="5">
        <v>46201</v>
      </c>
      <c r="C5" s="6" t="s">
        <v>21</v>
      </c>
      <c r="D5" s="6" t="s">
        <v>22</v>
      </c>
      <c r="E5" s="7">
        <v>3</v>
      </c>
      <c r="F5" s="6" t="s">
        <v>23</v>
      </c>
      <c r="G5" s="6" t="s">
        <v>24</v>
      </c>
      <c r="H5" s="8"/>
      <c r="I5" s="8">
        <v>7463.84</v>
      </c>
      <c r="J5" s="7">
        <v>393</v>
      </c>
      <c r="K5" s="7">
        <v>144735</v>
      </c>
      <c r="L5" s="7">
        <v>46736</v>
      </c>
      <c r="M5" s="7">
        <v>6</v>
      </c>
      <c r="N5" s="9" t="str">
        <f t="shared" ref="N5:N21" si="0">IF(H5="","",H5-I5)</f>
        <v/>
      </c>
      <c r="O5" s="10" t="str">
        <f t="shared" ref="O5:O22" si="1">IFERROR(I5/H5,"")</f>
        <v/>
      </c>
      <c r="P5" s="9">
        <f t="shared" ref="P5:P22" si="2">IFERROR(I5/J5,"")</f>
        <v>18.991959287531806</v>
      </c>
      <c r="Q5" s="9">
        <f t="shared" ref="Q5:Q22" si="3">IFERROR(I5/K5*1000,"")</f>
        <v>51.569005423705391</v>
      </c>
      <c r="R5" s="11">
        <f t="shared" ref="R5:R22" si="4">IFERROR(K5/L5,"")</f>
        <v>3.0968632317699418</v>
      </c>
    </row>
    <row r="6" spans="1:18" ht="18.75" customHeight="1" x14ac:dyDescent="0.2">
      <c r="A6" s="4" t="s">
        <v>25</v>
      </c>
      <c r="B6" s="5">
        <v>46054</v>
      </c>
      <c r="C6" s="6" t="s">
        <v>26</v>
      </c>
      <c r="D6" s="6" t="s">
        <v>22</v>
      </c>
      <c r="E6" s="7">
        <v>4</v>
      </c>
      <c r="F6" s="6" t="s">
        <v>27</v>
      </c>
      <c r="G6" s="6" t="s">
        <v>14</v>
      </c>
      <c r="H6" s="8"/>
      <c r="I6" s="8">
        <v>2206.83</v>
      </c>
      <c r="J6" s="7">
        <v>4</v>
      </c>
      <c r="K6" s="7">
        <v>58487</v>
      </c>
      <c r="L6" s="7">
        <v>14024</v>
      </c>
      <c r="M6" s="7">
        <v>4</v>
      </c>
      <c r="N6" s="9" t="str">
        <f t="shared" si="0"/>
        <v/>
      </c>
      <c r="O6" s="10" t="str">
        <f t="shared" si="1"/>
        <v/>
      </c>
      <c r="P6" s="9">
        <f t="shared" si="2"/>
        <v>551.70749999999998</v>
      </c>
      <c r="Q6" s="9">
        <f t="shared" si="3"/>
        <v>37.731974626840149</v>
      </c>
      <c r="R6" s="11">
        <f t="shared" si="4"/>
        <v>4.1704934398174558</v>
      </c>
    </row>
    <row r="7" spans="1:18" ht="18.75" customHeight="1" x14ac:dyDescent="0.2">
      <c r="A7" s="4" t="s">
        <v>28</v>
      </c>
      <c r="B7" s="5">
        <v>46019</v>
      </c>
      <c r="C7" s="6" t="s">
        <v>29</v>
      </c>
      <c r="D7" s="6" t="s">
        <v>29</v>
      </c>
      <c r="E7" s="7">
        <v>1</v>
      </c>
      <c r="F7" s="6" t="s">
        <v>23</v>
      </c>
      <c r="G7" s="6" t="s">
        <v>24</v>
      </c>
      <c r="H7" s="8"/>
      <c r="I7" s="8">
        <v>2160.4699999999998</v>
      </c>
      <c r="J7" s="7">
        <v>163</v>
      </c>
      <c r="K7" s="7">
        <v>227256</v>
      </c>
      <c r="L7" s="7">
        <v>89491</v>
      </c>
      <c r="M7" s="7">
        <v>2</v>
      </c>
      <c r="N7" s="9" t="str">
        <f t="shared" si="0"/>
        <v/>
      </c>
      <c r="O7" s="10" t="str">
        <f t="shared" si="1"/>
        <v/>
      </c>
      <c r="P7" s="9">
        <f t="shared" si="2"/>
        <v>13.254417177914108</v>
      </c>
      <c r="Q7" s="9">
        <f t="shared" si="3"/>
        <v>9.5067676981025802</v>
      </c>
      <c r="R7" s="11">
        <f t="shared" si="4"/>
        <v>2.5394285458872958</v>
      </c>
    </row>
    <row r="8" spans="1:18" ht="18.75" customHeight="1" x14ac:dyDescent="0.2">
      <c r="A8" s="4" t="s">
        <v>30</v>
      </c>
      <c r="B8" s="5">
        <v>45706</v>
      </c>
      <c r="C8" s="6" t="s">
        <v>29</v>
      </c>
      <c r="D8" s="6" t="s">
        <v>26</v>
      </c>
      <c r="E8" s="7">
        <v>2</v>
      </c>
      <c r="F8" s="6" t="s">
        <v>23</v>
      </c>
      <c r="G8" s="6" t="s">
        <v>24</v>
      </c>
      <c r="H8" s="8"/>
      <c r="I8" s="8">
        <v>2133.61</v>
      </c>
      <c r="J8" s="7">
        <v>149</v>
      </c>
      <c r="K8" s="7">
        <v>84544</v>
      </c>
      <c r="L8" s="7">
        <v>16660</v>
      </c>
      <c r="M8" s="7">
        <v>1</v>
      </c>
      <c r="N8" s="9" t="str">
        <f t="shared" si="0"/>
        <v/>
      </c>
      <c r="O8" s="10" t="str">
        <f t="shared" si="1"/>
        <v/>
      </c>
      <c r="P8" s="9">
        <f t="shared" si="2"/>
        <v>14.319530201342284</v>
      </c>
      <c r="Q8" s="9">
        <f t="shared" si="3"/>
        <v>25.236681491294473</v>
      </c>
      <c r="R8" s="11">
        <f t="shared" si="4"/>
        <v>5.0746698679471791</v>
      </c>
    </row>
    <row r="9" spans="1:18" ht="18.75" customHeight="1" x14ac:dyDescent="0.2">
      <c r="A9" s="4" t="s">
        <v>31</v>
      </c>
      <c r="B9" s="5">
        <v>46049</v>
      </c>
      <c r="C9" s="6" t="s">
        <v>29</v>
      </c>
      <c r="D9" s="6" t="s">
        <v>26</v>
      </c>
      <c r="E9" s="7">
        <v>2</v>
      </c>
      <c r="F9" s="6" t="s">
        <v>23</v>
      </c>
      <c r="G9" s="6" t="s">
        <v>14</v>
      </c>
      <c r="H9" s="8"/>
      <c r="I9" s="8">
        <v>1687.16</v>
      </c>
      <c r="J9" s="7">
        <v>1</v>
      </c>
      <c r="K9" s="7">
        <v>119526</v>
      </c>
      <c r="L9" s="7">
        <v>42722</v>
      </c>
      <c r="M9" s="7">
        <v>1</v>
      </c>
      <c r="N9" s="9" t="str">
        <f t="shared" si="0"/>
        <v/>
      </c>
      <c r="O9" s="10" t="str">
        <f t="shared" si="1"/>
        <v/>
      </c>
      <c r="P9" s="9">
        <f t="shared" si="2"/>
        <v>1687.16</v>
      </c>
      <c r="Q9" s="9">
        <f t="shared" si="3"/>
        <v>14.115422585880896</v>
      </c>
      <c r="R9" s="11">
        <f t="shared" si="4"/>
        <v>2.7977622770469548</v>
      </c>
    </row>
    <row r="10" spans="1:18" ht="18.75" customHeight="1" x14ac:dyDescent="0.2">
      <c r="A10" s="4" t="s">
        <v>32</v>
      </c>
      <c r="B10" s="5">
        <v>46037</v>
      </c>
      <c r="C10" s="6" t="s">
        <v>29</v>
      </c>
      <c r="D10" s="6" t="s">
        <v>29</v>
      </c>
      <c r="E10" s="7">
        <v>1</v>
      </c>
      <c r="F10" s="6" t="s">
        <v>23</v>
      </c>
      <c r="G10" s="6" t="s">
        <v>24</v>
      </c>
      <c r="H10" s="8"/>
      <c r="I10" s="8">
        <v>1082.58</v>
      </c>
      <c r="J10" s="7">
        <v>19</v>
      </c>
      <c r="K10" s="7">
        <v>44551</v>
      </c>
      <c r="L10" s="7">
        <v>21901</v>
      </c>
      <c r="M10" s="7">
        <v>0</v>
      </c>
      <c r="N10" s="9" t="str">
        <f t="shared" si="0"/>
        <v/>
      </c>
      <c r="O10" s="10" t="str">
        <f t="shared" si="1"/>
        <v/>
      </c>
      <c r="P10" s="9">
        <f t="shared" si="2"/>
        <v>56.977894736842103</v>
      </c>
      <c r="Q10" s="9">
        <f t="shared" si="3"/>
        <v>24.299791250476982</v>
      </c>
      <c r="R10" s="11">
        <f t="shared" si="4"/>
        <v>2.0341993516277794</v>
      </c>
    </row>
    <row r="11" spans="1:18" ht="18.75" customHeight="1" x14ac:dyDescent="0.2">
      <c r="A11" s="4" t="s">
        <v>33</v>
      </c>
      <c r="B11" s="5">
        <v>46019</v>
      </c>
      <c r="C11" s="6" t="s">
        <v>29</v>
      </c>
      <c r="D11" s="6" t="s">
        <v>29</v>
      </c>
      <c r="E11" s="7">
        <v>1</v>
      </c>
      <c r="F11" s="6" t="s">
        <v>23</v>
      </c>
      <c r="G11" s="6" t="s">
        <v>24</v>
      </c>
      <c r="H11" s="8"/>
      <c r="I11" s="8">
        <v>982.25</v>
      </c>
      <c r="J11" s="7">
        <v>46</v>
      </c>
      <c r="K11" s="7">
        <v>21744</v>
      </c>
      <c r="L11" s="7">
        <v>12295</v>
      </c>
      <c r="M11" s="7">
        <v>0</v>
      </c>
      <c r="N11" s="9" t="str">
        <f t="shared" si="0"/>
        <v/>
      </c>
      <c r="O11" s="10" t="str">
        <f t="shared" si="1"/>
        <v/>
      </c>
      <c r="P11" s="9">
        <f t="shared" si="2"/>
        <v>21.353260869565219</v>
      </c>
      <c r="Q11" s="9">
        <f t="shared" si="3"/>
        <v>45.173381162619577</v>
      </c>
      <c r="R11" s="11">
        <f t="shared" si="4"/>
        <v>1.7685237901586011</v>
      </c>
    </row>
    <row r="12" spans="1:18" ht="18.75" customHeight="1" x14ac:dyDescent="0.2">
      <c r="A12" s="4" t="s">
        <v>34</v>
      </c>
      <c r="B12" s="5">
        <v>46243</v>
      </c>
      <c r="C12" s="6" t="s">
        <v>22</v>
      </c>
      <c r="D12" s="6" t="s">
        <v>22</v>
      </c>
      <c r="E12" s="7">
        <v>1</v>
      </c>
      <c r="F12" s="6" t="s">
        <v>23</v>
      </c>
      <c r="G12" s="6" t="s">
        <v>24</v>
      </c>
      <c r="H12" s="8"/>
      <c r="I12" s="8">
        <v>589.51</v>
      </c>
      <c r="J12" s="7">
        <v>25</v>
      </c>
      <c r="K12" s="7">
        <v>15487</v>
      </c>
      <c r="L12" s="7">
        <v>8432</v>
      </c>
      <c r="M12" s="7">
        <v>0</v>
      </c>
      <c r="N12" s="9" t="str">
        <f t="shared" si="0"/>
        <v/>
      </c>
      <c r="O12" s="10" t="str">
        <f t="shared" si="1"/>
        <v/>
      </c>
      <c r="P12" s="9">
        <f t="shared" si="2"/>
        <v>23.580400000000001</v>
      </c>
      <c r="Q12" s="9">
        <f t="shared" si="3"/>
        <v>38.064828565893976</v>
      </c>
      <c r="R12" s="11">
        <f t="shared" si="4"/>
        <v>1.8366935483870968</v>
      </c>
    </row>
    <row r="13" spans="1:18" ht="18.75" customHeight="1" x14ac:dyDescent="0.2">
      <c r="A13" s="4" t="s">
        <v>35</v>
      </c>
      <c r="B13" s="5">
        <v>46243</v>
      </c>
      <c r="C13" s="6" t="s">
        <v>22</v>
      </c>
      <c r="D13" s="6" t="s">
        <v>22</v>
      </c>
      <c r="E13" s="7">
        <v>1</v>
      </c>
      <c r="F13" s="6" t="s">
        <v>23</v>
      </c>
      <c r="G13" s="6" t="s">
        <v>24</v>
      </c>
      <c r="H13" s="8"/>
      <c r="I13" s="8">
        <v>463.59</v>
      </c>
      <c r="J13" s="7">
        <v>17</v>
      </c>
      <c r="K13" s="7">
        <v>11464</v>
      </c>
      <c r="L13" s="7">
        <v>6277</v>
      </c>
      <c r="M13" s="7">
        <v>0</v>
      </c>
      <c r="N13" s="9" t="str">
        <f t="shared" si="0"/>
        <v/>
      </c>
      <c r="O13" s="10" t="str">
        <f t="shared" si="1"/>
        <v/>
      </c>
      <c r="P13" s="9">
        <f t="shared" si="2"/>
        <v>27.27</v>
      </c>
      <c r="Q13" s="9">
        <f t="shared" si="3"/>
        <v>40.438764829030006</v>
      </c>
      <c r="R13" s="11">
        <f t="shared" si="4"/>
        <v>1.8263501672773619</v>
      </c>
    </row>
    <row r="14" spans="1:18" ht="18.75" customHeight="1" x14ac:dyDescent="0.2">
      <c r="A14" s="4" t="s">
        <v>36</v>
      </c>
      <c r="B14" s="5">
        <v>45995</v>
      </c>
      <c r="C14" s="6" t="s">
        <v>29</v>
      </c>
      <c r="D14" s="6" t="s">
        <v>29</v>
      </c>
      <c r="E14" s="7">
        <v>1</v>
      </c>
      <c r="F14" s="6" t="s">
        <v>23</v>
      </c>
      <c r="G14" s="6" t="s">
        <v>24</v>
      </c>
      <c r="H14" s="8"/>
      <c r="I14" s="8">
        <v>306.55</v>
      </c>
      <c r="J14" s="7">
        <v>43</v>
      </c>
      <c r="K14" s="7">
        <v>34974</v>
      </c>
      <c r="L14" s="7">
        <v>26283</v>
      </c>
      <c r="M14" s="7">
        <v>0</v>
      </c>
      <c r="N14" s="9" t="str">
        <f t="shared" si="0"/>
        <v/>
      </c>
      <c r="O14" s="10" t="str">
        <f t="shared" si="1"/>
        <v/>
      </c>
      <c r="P14" s="9">
        <f t="shared" si="2"/>
        <v>7.1290697674418606</v>
      </c>
      <c r="Q14" s="9">
        <f t="shared" si="3"/>
        <v>8.7650826328129465</v>
      </c>
      <c r="R14" s="11">
        <f t="shared" si="4"/>
        <v>1.3306700148384887</v>
      </c>
    </row>
    <row r="15" spans="1:18" ht="18.75" customHeight="1" x14ac:dyDescent="0.2">
      <c r="A15" s="4" t="s">
        <v>37</v>
      </c>
      <c r="B15" s="5">
        <v>46256</v>
      </c>
      <c r="C15" s="6" t="s">
        <v>22</v>
      </c>
      <c r="D15" s="6" t="s">
        <v>22</v>
      </c>
      <c r="E15" s="7">
        <v>1</v>
      </c>
      <c r="F15" s="6" t="s">
        <v>27</v>
      </c>
      <c r="G15" s="6" t="s">
        <v>24</v>
      </c>
      <c r="H15" s="8"/>
      <c r="I15" s="8">
        <v>61.15</v>
      </c>
      <c r="J15" s="7">
        <v>12</v>
      </c>
      <c r="K15" s="7">
        <v>3865</v>
      </c>
      <c r="L15" s="7">
        <v>2894</v>
      </c>
      <c r="M15" s="7">
        <v>0</v>
      </c>
      <c r="N15" s="9" t="str">
        <f t="shared" si="0"/>
        <v/>
      </c>
      <c r="O15" s="10" t="str">
        <f t="shared" si="1"/>
        <v/>
      </c>
      <c r="P15" s="9">
        <f t="shared" si="2"/>
        <v>5.0958333333333332</v>
      </c>
      <c r="Q15" s="9">
        <f t="shared" si="3"/>
        <v>15.821474773609314</v>
      </c>
      <c r="R15" s="11">
        <f t="shared" si="4"/>
        <v>1.3355217691776089</v>
      </c>
    </row>
    <row r="16" spans="1:18" ht="18.75" customHeight="1" x14ac:dyDescent="0.2">
      <c r="A16" s="4" t="s">
        <v>38</v>
      </c>
      <c r="B16" s="5">
        <v>46256</v>
      </c>
      <c r="C16" s="6" t="s">
        <v>22</v>
      </c>
      <c r="D16" s="6" t="s">
        <v>22</v>
      </c>
      <c r="E16" s="7">
        <v>1</v>
      </c>
      <c r="F16" s="6" t="s">
        <v>27</v>
      </c>
      <c r="G16" s="6" t="s">
        <v>24</v>
      </c>
      <c r="H16" s="8"/>
      <c r="I16" s="8">
        <v>57.98</v>
      </c>
      <c r="J16" s="7">
        <v>7</v>
      </c>
      <c r="K16" s="7">
        <v>2143</v>
      </c>
      <c r="L16" s="7">
        <v>1700</v>
      </c>
      <c r="M16" s="7">
        <v>0</v>
      </c>
      <c r="N16" s="9" t="str">
        <f t="shared" si="0"/>
        <v/>
      </c>
      <c r="O16" s="10" t="str">
        <f t="shared" si="1"/>
        <v/>
      </c>
      <c r="P16" s="9">
        <f t="shared" si="2"/>
        <v>8.2828571428571429</v>
      </c>
      <c r="Q16" s="9">
        <f t="shared" si="3"/>
        <v>27.05552963135791</v>
      </c>
      <c r="R16" s="11">
        <f t="shared" si="4"/>
        <v>1.2605882352941176</v>
      </c>
    </row>
    <row r="17" spans="1:18" ht="18.75" customHeight="1" x14ac:dyDescent="0.2">
      <c r="A17" s="4" t="s">
        <v>39</v>
      </c>
      <c r="B17" s="5">
        <v>46256</v>
      </c>
      <c r="C17" s="6" t="s">
        <v>22</v>
      </c>
      <c r="D17" s="6" t="s">
        <v>22</v>
      </c>
      <c r="E17" s="7">
        <v>1</v>
      </c>
      <c r="F17" s="6" t="s">
        <v>27</v>
      </c>
      <c r="G17" s="6" t="s">
        <v>24</v>
      </c>
      <c r="H17" s="8"/>
      <c r="I17" s="8">
        <v>55.44</v>
      </c>
      <c r="J17" s="7">
        <v>3</v>
      </c>
      <c r="K17" s="7">
        <v>3041</v>
      </c>
      <c r="L17" s="7">
        <v>2472</v>
      </c>
      <c r="M17" s="7">
        <v>0</v>
      </c>
      <c r="N17" s="9" t="str">
        <f t="shared" si="0"/>
        <v/>
      </c>
      <c r="O17" s="10" t="str">
        <f t="shared" si="1"/>
        <v/>
      </c>
      <c r="P17" s="9">
        <f t="shared" si="2"/>
        <v>18.48</v>
      </c>
      <c r="Q17" s="9">
        <f t="shared" si="3"/>
        <v>18.230845116737914</v>
      </c>
      <c r="R17" s="11">
        <f t="shared" si="4"/>
        <v>1.2301779935275081</v>
      </c>
    </row>
    <row r="18" spans="1:18" ht="18.75" customHeight="1" x14ac:dyDescent="0.2">
      <c r="A18" s="4"/>
      <c r="B18" s="5"/>
      <c r="C18" s="6"/>
      <c r="D18" s="6"/>
      <c r="E18" s="7"/>
      <c r="F18" s="6"/>
      <c r="G18" s="6"/>
      <c r="H18" s="8"/>
      <c r="I18" s="8"/>
      <c r="J18" s="7"/>
      <c r="K18" s="7"/>
      <c r="L18" s="7"/>
      <c r="M18" s="7"/>
      <c r="N18" s="9" t="str">
        <f t="shared" si="0"/>
        <v/>
      </c>
      <c r="O18" s="10" t="str">
        <f t="shared" si="1"/>
        <v/>
      </c>
      <c r="P18" s="9" t="str">
        <f t="shared" si="2"/>
        <v/>
      </c>
      <c r="Q18" s="9" t="str">
        <f t="shared" si="3"/>
        <v/>
      </c>
      <c r="R18" s="11" t="str">
        <f t="shared" si="4"/>
        <v/>
      </c>
    </row>
    <row r="19" spans="1:18" ht="18.75" customHeight="1" x14ac:dyDescent="0.2">
      <c r="A19" s="4"/>
      <c r="B19" s="5"/>
      <c r="C19" s="6"/>
      <c r="D19" s="6"/>
      <c r="E19" s="7"/>
      <c r="F19" s="6"/>
      <c r="G19" s="6"/>
      <c r="H19" s="8"/>
      <c r="I19" s="8"/>
      <c r="J19" s="7"/>
      <c r="K19" s="7"/>
      <c r="L19" s="7"/>
      <c r="M19" s="7"/>
      <c r="N19" s="9" t="str">
        <f t="shared" si="0"/>
        <v/>
      </c>
      <c r="O19" s="10" t="str">
        <f t="shared" si="1"/>
        <v/>
      </c>
      <c r="P19" s="9" t="str">
        <f t="shared" si="2"/>
        <v/>
      </c>
      <c r="Q19" s="9" t="str">
        <f t="shared" si="3"/>
        <v/>
      </c>
      <c r="R19" s="11" t="str">
        <f t="shared" si="4"/>
        <v/>
      </c>
    </row>
    <row r="20" spans="1:18" ht="18.75" customHeight="1" x14ac:dyDescent="0.2">
      <c r="A20" s="4"/>
      <c r="B20" s="5"/>
      <c r="C20" s="6"/>
      <c r="D20" s="6"/>
      <c r="E20" s="7"/>
      <c r="F20" s="6"/>
      <c r="G20" s="6"/>
      <c r="H20" s="8"/>
      <c r="I20" s="8"/>
      <c r="J20" s="7"/>
      <c r="K20" s="7"/>
      <c r="L20" s="7"/>
      <c r="M20" s="7"/>
      <c r="N20" s="9" t="str">
        <f t="shared" si="0"/>
        <v/>
      </c>
      <c r="O20" s="10" t="str">
        <f t="shared" si="1"/>
        <v/>
      </c>
      <c r="P20" s="9" t="str">
        <f t="shared" si="2"/>
        <v/>
      </c>
      <c r="Q20" s="9" t="str">
        <f t="shared" si="3"/>
        <v/>
      </c>
      <c r="R20" s="11" t="str">
        <f t="shared" si="4"/>
        <v/>
      </c>
    </row>
    <row r="21" spans="1:18" ht="18.75" customHeight="1" x14ac:dyDescent="0.2">
      <c r="A21" s="4"/>
      <c r="B21" s="5"/>
      <c r="C21" s="6"/>
      <c r="D21" s="6"/>
      <c r="E21" s="7"/>
      <c r="F21" s="6"/>
      <c r="G21" s="6"/>
      <c r="H21" s="8"/>
      <c r="I21" s="8"/>
      <c r="J21" s="7"/>
      <c r="K21" s="7"/>
      <c r="L21" s="7"/>
      <c r="M21" s="7"/>
      <c r="N21" s="9" t="str">
        <f t="shared" si="0"/>
        <v/>
      </c>
      <c r="O21" s="10" t="str">
        <f t="shared" si="1"/>
        <v/>
      </c>
      <c r="P21" s="9" t="str">
        <f t="shared" si="2"/>
        <v/>
      </c>
      <c r="Q21" s="9" t="str">
        <f t="shared" si="3"/>
        <v/>
      </c>
      <c r="R21" s="11" t="str">
        <f t="shared" si="4"/>
        <v/>
      </c>
    </row>
    <row r="22" spans="1:18" ht="21.75" customHeight="1" x14ac:dyDescent="0.2">
      <c r="A22" s="12" t="s">
        <v>40</v>
      </c>
      <c r="B22" s="13"/>
      <c r="C22" s="14"/>
      <c r="D22" s="14"/>
      <c r="E22" s="15"/>
      <c r="F22" s="14"/>
      <c r="G22" s="14"/>
      <c r="H22" s="16">
        <f t="shared" ref="H22:M22" si="5">SUM(H5:H21)</f>
        <v>0</v>
      </c>
      <c r="I22" s="16">
        <f t="shared" si="5"/>
        <v>19250.959999999995</v>
      </c>
      <c r="J22" s="15">
        <f t="shared" si="5"/>
        <v>882</v>
      </c>
      <c r="K22" s="15">
        <f t="shared" si="5"/>
        <v>771817</v>
      </c>
      <c r="L22" s="15">
        <f t="shared" si="5"/>
        <v>291887</v>
      </c>
      <c r="M22" s="15">
        <f t="shared" si="5"/>
        <v>14</v>
      </c>
      <c r="N22" s="16" t="str">
        <f>IF(H22=0,"",H22-I22)</f>
        <v/>
      </c>
      <c r="O22" s="17" t="str">
        <f t="shared" si="1"/>
        <v/>
      </c>
      <c r="P22" s="16">
        <f t="shared" si="2"/>
        <v>21.826485260770969</v>
      </c>
      <c r="Q22" s="16">
        <f t="shared" si="3"/>
        <v>24.942389193293224</v>
      </c>
      <c r="R22" s="18">
        <f t="shared" si="4"/>
        <v>2.644232185743113</v>
      </c>
    </row>
    <row r="24" spans="1:18" x14ac:dyDescent="0.2">
      <c r="A24" s="19"/>
    </row>
  </sheetData>
  <mergeCells count="2">
    <mergeCell ref="A1:R1"/>
    <mergeCell ref="A2:R2"/>
  </mergeCells>
  <dataValidations count="2">
    <dataValidation type="list" allowBlank="1" sqref="F5:F21" xr:uid="{00000000-0002-0000-0000-000000000000}">
      <formula1>"Active,Inactive,Paused,Archived"</formula1>
      <formula2>0</formula2>
    </dataValidation>
    <dataValidation type="list" allowBlank="1" sqref="G5:G21" xr:uid="{00000000-0002-0000-0000-000001000000}">
      <formula1>"Messages,Purchases,Leads,Link Clicks,Reach,Custom Conversion"</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A9BC"/>
  </sheetPr>
  <dimension ref="A1:N59"/>
  <sheetViews>
    <sheetView showGridLines="0" zoomScaleNormal="100" workbookViewId="0">
      <selection activeCell="H49" sqref="H49"/>
    </sheetView>
  </sheetViews>
  <sheetFormatPr baseColWidth="10" defaultColWidth="8.6640625" defaultRowHeight="15" x14ac:dyDescent="0.2"/>
  <cols>
    <col min="1" max="1" width="2" customWidth="1"/>
    <col min="2" max="2" width="20" customWidth="1"/>
    <col min="3" max="13" width="11.5" customWidth="1"/>
    <col min="14" max="14" width="2" customWidth="1"/>
  </cols>
  <sheetData>
    <row r="1" spans="1:14" ht="7.5" customHeight="1" x14ac:dyDescent="0.2">
      <c r="A1" s="20"/>
      <c r="B1" s="20"/>
      <c r="C1" s="20"/>
      <c r="D1" s="20"/>
      <c r="E1" s="20"/>
      <c r="F1" s="20"/>
      <c r="G1" s="20"/>
      <c r="H1" s="20"/>
      <c r="I1" s="20"/>
      <c r="J1" s="20"/>
      <c r="K1" s="20"/>
      <c r="L1" s="20"/>
      <c r="M1" s="20"/>
      <c r="N1" s="20"/>
    </row>
    <row r="2" spans="1:14" ht="6" customHeight="1" x14ac:dyDescent="0.2">
      <c r="A2" s="20"/>
      <c r="B2" s="21"/>
      <c r="C2" s="21"/>
      <c r="D2" s="21"/>
      <c r="E2" s="21"/>
      <c r="F2" s="21"/>
      <c r="G2" s="21"/>
      <c r="H2" s="21"/>
      <c r="I2" s="21"/>
      <c r="J2" s="21"/>
      <c r="K2" s="21"/>
      <c r="L2" s="21"/>
      <c r="M2" s="21"/>
      <c r="N2" s="20"/>
    </row>
    <row r="3" spans="1:14" ht="27.75" customHeight="1" x14ac:dyDescent="0.2">
      <c r="A3" s="20"/>
      <c r="B3" s="73" t="s">
        <v>41</v>
      </c>
      <c r="C3" s="73"/>
      <c r="D3" s="73"/>
      <c r="E3" s="73"/>
      <c r="F3" s="73"/>
      <c r="G3" s="73"/>
      <c r="H3" s="73"/>
      <c r="I3" s="91" t="str">
        <f>"Campaigns live in 2026: "&amp;COUNTA('Campaign Data'!A5:A21)&amp;"   |   Earlier years on Previous Trips tab"</f>
        <v>Campaigns live in 2026: 13   |   Earlier years on Previous Trips tab</v>
      </c>
      <c r="J3" s="91"/>
      <c r="K3" s="91"/>
      <c r="L3" s="91"/>
      <c r="M3" s="91"/>
      <c r="N3" s="20"/>
    </row>
    <row r="4" spans="1:14" ht="6" customHeight="1" x14ac:dyDescent="0.2">
      <c r="A4" s="20"/>
      <c r="B4" s="21"/>
      <c r="C4" s="21"/>
      <c r="D4" s="21"/>
      <c r="E4" s="21"/>
      <c r="F4" s="21"/>
      <c r="G4" s="21"/>
      <c r="H4" s="21"/>
      <c r="I4" s="21"/>
      <c r="J4" s="21"/>
      <c r="K4" s="21"/>
      <c r="L4" s="21"/>
      <c r="M4" s="21"/>
      <c r="N4" s="20"/>
    </row>
    <row r="5" spans="1:14" ht="9.75" customHeight="1" x14ac:dyDescent="0.2">
      <c r="A5" s="20"/>
      <c r="B5" s="22"/>
      <c r="C5" s="22"/>
      <c r="D5" s="22"/>
      <c r="E5" s="22"/>
      <c r="F5" s="22"/>
      <c r="G5" s="22"/>
      <c r="H5" s="22"/>
      <c r="I5" s="22"/>
      <c r="J5" s="22"/>
      <c r="K5" s="22"/>
      <c r="L5" s="22"/>
      <c r="M5" s="22"/>
      <c r="N5" s="20"/>
    </row>
    <row r="6" spans="1:14" ht="21.75" customHeight="1" x14ac:dyDescent="0.2">
      <c r="A6" s="20"/>
      <c r="B6" s="83" t="s">
        <v>42</v>
      </c>
      <c r="C6" s="83"/>
      <c r="D6" s="83"/>
      <c r="E6" s="23"/>
      <c r="F6" s="23"/>
      <c r="G6" s="23"/>
      <c r="H6" s="23"/>
      <c r="I6" s="23"/>
      <c r="J6" s="83" t="s">
        <v>43</v>
      </c>
      <c r="K6" s="83"/>
      <c r="L6" s="83"/>
      <c r="M6" s="23"/>
      <c r="N6" s="20"/>
    </row>
    <row r="7" spans="1:14" ht="7.5" customHeight="1" x14ac:dyDescent="0.2">
      <c r="A7" s="20"/>
      <c r="B7" s="23"/>
      <c r="C7" s="23"/>
      <c r="D7" s="23"/>
      <c r="E7" s="23"/>
      <c r="F7" s="23"/>
      <c r="G7" s="23"/>
      <c r="H7" s="23"/>
      <c r="I7" s="23"/>
      <c r="J7" s="23"/>
      <c r="K7" s="23"/>
      <c r="L7" s="23"/>
      <c r="M7" s="23"/>
      <c r="N7" s="20"/>
    </row>
    <row r="8" spans="1:14" ht="13.5" customHeight="1" x14ac:dyDescent="0.2">
      <c r="A8" s="20"/>
      <c r="B8" s="88" t="s">
        <v>44</v>
      </c>
      <c r="C8" s="88"/>
      <c r="D8" s="88" t="s">
        <v>45</v>
      </c>
      <c r="E8" s="88"/>
      <c r="F8" s="88" t="s">
        <v>46</v>
      </c>
      <c r="G8" s="88"/>
      <c r="H8" s="88" t="s">
        <v>47</v>
      </c>
      <c r="I8" s="88"/>
      <c r="J8" s="23"/>
      <c r="K8" s="23"/>
      <c r="L8" s="23"/>
      <c r="M8" s="23"/>
      <c r="N8" s="20"/>
    </row>
    <row r="9" spans="1:14" ht="30" customHeight="1" x14ac:dyDescent="0.2">
      <c r="A9" s="20"/>
      <c r="B9" s="89">
        <f>'Campaign Data'!H22</f>
        <v>0</v>
      </c>
      <c r="C9" s="89"/>
      <c r="D9" s="89">
        <f>'Campaign Data'!I22</f>
        <v>19250.959999999995</v>
      </c>
      <c r="E9" s="89"/>
      <c r="F9" s="89" t="str">
        <f>'Campaign Data'!N22</f>
        <v/>
      </c>
      <c r="G9" s="89"/>
      <c r="H9" s="90" t="str">
        <f>'Campaign Data'!O22</f>
        <v/>
      </c>
      <c r="I9" s="90"/>
      <c r="J9" s="23"/>
      <c r="K9" s="23"/>
      <c r="L9" s="23"/>
      <c r="M9" s="23"/>
      <c r="N9" s="20"/>
    </row>
    <row r="10" spans="1:14" ht="9.75" customHeight="1" x14ac:dyDescent="0.2">
      <c r="A10" s="20"/>
      <c r="B10" s="23"/>
      <c r="C10" s="23"/>
      <c r="D10" s="23"/>
      <c r="E10" s="23"/>
      <c r="F10" s="23"/>
      <c r="G10" s="23"/>
      <c r="H10" s="23"/>
      <c r="I10" s="23"/>
      <c r="J10" s="23"/>
      <c r="K10" s="23"/>
      <c r="L10" s="23"/>
      <c r="M10" s="23"/>
      <c r="N10" s="20"/>
    </row>
    <row r="11" spans="1:14" ht="13.5" customHeight="1" x14ac:dyDescent="0.2">
      <c r="A11" s="20"/>
      <c r="B11" s="88" t="s">
        <v>48</v>
      </c>
      <c r="C11" s="88"/>
      <c r="D11" s="88" t="s">
        <v>49</v>
      </c>
      <c r="E11" s="88"/>
      <c r="F11" s="88" t="s">
        <v>50</v>
      </c>
      <c r="G11" s="88"/>
      <c r="H11" s="88" t="s">
        <v>51</v>
      </c>
      <c r="I11" s="88"/>
      <c r="J11" s="23"/>
      <c r="K11" s="23"/>
      <c r="L11" s="23"/>
      <c r="M11" s="23"/>
      <c r="N11" s="20"/>
    </row>
    <row r="12" spans="1:14" ht="30" customHeight="1" x14ac:dyDescent="0.2">
      <c r="A12" s="20"/>
      <c r="B12" s="87">
        <f>'Campaign Data'!J22</f>
        <v>882</v>
      </c>
      <c r="C12" s="87"/>
      <c r="D12" s="86">
        <f>'Campaign Data'!P22</f>
        <v>21.826485260770969</v>
      </c>
      <c r="E12" s="86"/>
      <c r="F12" s="87">
        <f>'Campaign Data'!K22</f>
        <v>771817</v>
      </c>
      <c r="G12" s="87"/>
      <c r="H12" s="87">
        <f>'Campaign Data'!L22</f>
        <v>291887</v>
      </c>
      <c r="I12" s="87"/>
      <c r="J12" s="23"/>
      <c r="K12" s="23"/>
      <c r="L12" s="23"/>
      <c r="M12" s="23"/>
      <c r="N12" s="20"/>
    </row>
    <row r="13" spans="1:14" ht="9.75" customHeight="1" x14ac:dyDescent="0.2">
      <c r="A13" s="20"/>
      <c r="B13" s="23"/>
      <c r="C13" s="23"/>
      <c r="D13" s="23"/>
      <c r="E13" s="23"/>
      <c r="F13" s="23"/>
      <c r="G13" s="23"/>
      <c r="H13" s="23"/>
      <c r="I13" s="23"/>
      <c r="J13" s="23"/>
      <c r="K13" s="23"/>
      <c r="L13" s="23"/>
      <c r="M13" s="23"/>
      <c r="N13" s="20"/>
    </row>
    <row r="14" spans="1:14" ht="13.5" customHeight="1" x14ac:dyDescent="0.2">
      <c r="A14" s="20"/>
      <c r="B14" s="88" t="s">
        <v>52</v>
      </c>
      <c r="C14" s="88"/>
      <c r="D14" s="88" t="s">
        <v>53</v>
      </c>
      <c r="E14" s="88"/>
      <c r="F14" s="88" t="s">
        <v>54</v>
      </c>
      <c r="G14" s="88"/>
      <c r="H14" s="88" t="s">
        <v>55</v>
      </c>
      <c r="I14" s="88"/>
      <c r="J14" s="23"/>
      <c r="K14" s="23"/>
      <c r="L14" s="23"/>
      <c r="M14" s="23"/>
      <c r="N14" s="20"/>
    </row>
    <row r="15" spans="1:14" ht="30" customHeight="1" x14ac:dyDescent="0.2">
      <c r="A15" s="20"/>
      <c r="B15" s="85">
        <f>'Campaign Data'!R22</f>
        <v>2.644232185743113</v>
      </c>
      <c r="C15" s="85"/>
      <c r="D15" s="86">
        <f>'Campaign Data'!Q22</f>
        <v>24.942389193293224</v>
      </c>
      <c r="E15" s="86"/>
      <c r="F15" s="87">
        <f>'Campaign Data'!M22</f>
        <v>14</v>
      </c>
      <c r="G15" s="87"/>
      <c r="H15" s="87">
        <f>COUNTA('Campaign Data'!A5:A21)</f>
        <v>13</v>
      </c>
      <c r="I15" s="87"/>
      <c r="J15" s="23"/>
      <c r="K15" s="23"/>
      <c r="L15" s="23"/>
      <c r="M15" s="23"/>
      <c r="N15" s="20"/>
    </row>
    <row r="16" spans="1:14" ht="7.5" customHeight="1" x14ac:dyDescent="0.2">
      <c r="A16" s="20"/>
      <c r="B16" s="23"/>
      <c r="C16" s="23"/>
      <c r="D16" s="23"/>
      <c r="E16" s="23"/>
      <c r="F16" s="23"/>
      <c r="G16" s="23"/>
      <c r="H16" s="23"/>
      <c r="I16" s="23"/>
      <c r="J16" s="23"/>
      <c r="K16" s="23"/>
      <c r="L16" s="23"/>
      <c r="M16" s="23"/>
      <c r="N16" s="20"/>
    </row>
    <row r="17" spans="1:14" ht="6" customHeight="1" x14ac:dyDescent="0.2">
      <c r="A17" s="20"/>
      <c r="B17" s="23"/>
      <c r="C17" s="23"/>
      <c r="D17" s="23"/>
      <c r="E17" s="23"/>
      <c r="F17" s="23"/>
      <c r="G17" s="23"/>
      <c r="H17" s="23"/>
      <c r="I17" s="23"/>
      <c r="J17" s="23"/>
      <c r="K17" s="23"/>
      <c r="L17" s="23"/>
      <c r="M17" s="23"/>
      <c r="N17" s="20"/>
    </row>
    <row r="18" spans="1:14" ht="12" customHeight="1" x14ac:dyDescent="0.2">
      <c r="A18" s="20"/>
      <c r="B18" s="20"/>
      <c r="C18" s="20"/>
      <c r="D18" s="20"/>
      <c r="E18" s="20"/>
      <c r="F18" s="20"/>
      <c r="G18" s="20"/>
      <c r="H18" s="20"/>
      <c r="I18" s="20"/>
      <c r="J18" s="20"/>
      <c r="K18" s="20"/>
      <c r="L18" s="20"/>
      <c r="M18" s="20"/>
      <c r="N18" s="20"/>
    </row>
    <row r="19" spans="1:14" ht="21.75" customHeight="1" x14ac:dyDescent="0.2">
      <c r="A19" s="20"/>
      <c r="B19" s="83" t="s">
        <v>56</v>
      </c>
      <c r="C19" s="83"/>
      <c r="D19" s="83"/>
      <c r="E19" s="23"/>
      <c r="F19" s="23"/>
      <c r="G19" s="23"/>
      <c r="H19" s="83" t="s">
        <v>57</v>
      </c>
      <c r="I19" s="83"/>
      <c r="J19" s="83"/>
      <c r="K19" s="23"/>
      <c r="L19" s="23"/>
      <c r="M19" s="23"/>
      <c r="N19" s="20"/>
    </row>
    <row r="20" spans="1:14" ht="18" customHeight="1" x14ac:dyDescent="0.2">
      <c r="A20" s="20"/>
      <c r="B20" s="23"/>
      <c r="C20" s="23"/>
      <c r="D20" s="23"/>
      <c r="E20" s="23"/>
      <c r="F20" s="23"/>
      <c r="G20" s="23"/>
      <c r="H20" s="23"/>
      <c r="I20" s="23"/>
      <c r="J20" s="23"/>
      <c r="K20" s="23"/>
      <c r="L20" s="23"/>
      <c r="M20" s="23"/>
      <c r="N20" s="20"/>
    </row>
    <row r="21" spans="1:14" ht="18" customHeight="1" x14ac:dyDescent="0.2">
      <c r="A21" s="20"/>
      <c r="B21" s="23"/>
      <c r="C21" s="23"/>
      <c r="D21" s="23"/>
      <c r="E21" s="23"/>
      <c r="F21" s="23"/>
      <c r="G21" s="23"/>
      <c r="H21" s="23"/>
      <c r="I21" s="23"/>
      <c r="J21" s="23"/>
      <c r="K21" s="23"/>
      <c r="L21" s="23"/>
      <c r="M21" s="23"/>
      <c r="N21" s="20"/>
    </row>
    <row r="22" spans="1:14" ht="18" customHeight="1" x14ac:dyDescent="0.2">
      <c r="A22" s="20"/>
      <c r="B22" s="23"/>
      <c r="C22" s="23"/>
      <c r="D22" s="23"/>
      <c r="E22" s="23"/>
      <c r="F22" s="23"/>
      <c r="G22" s="23"/>
      <c r="H22" s="23"/>
      <c r="I22" s="23"/>
      <c r="J22" s="23"/>
      <c r="K22" s="23"/>
      <c r="L22" s="23"/>
      <c r="M22" s="23"/>
      <c r="N22" s="20"/>
    </row>
    <row r="23" spans="1:14" ht="18" customHeight="1" x14ac:dyDescent="0.2">
      <c r="A23" s="20"/>
      <c r="B23" s="23"/>
      <c r="C23" s="23"/>
      <c r="D23" s="23"/>
      <c r="E23" s="23"/>
      <c r="F23" s="23"/>
      <c r="G23" s="23"/>
      <c r="H23" s="23"/>
      <c r="I23" s="23"/>
      <c r="J23" s="23"/>
      <c r="K23" s="23"/>
      <c r="L23" s="23"/>
      <c r="M23" s="23"/>
      <c r="N23" s="20"/>
    </row>
    <row r="24" spans="1:14" ht="18" customHeight="1" x14ac:dyDescent="0.2">
      <c r="A24" s="20"/>
      <c r="B24" s="23"/>
      <c r="C24" s="23"/>
      <c r="D24" s="23"/>
      <c r="E24" s="23"/>
      <c r="F24" s="23"/>
      <c r="G24" s="23"/>
      <c r="H24" s="23"/>
      <c r="I24" s="23"/>
      <c r="J24" s="23"/>
      <c r="K24" s="23"/>
      <c r="L24" s="23"/>
      <c r="M24" s="23"/>
      <c r="N24" s="20"/>
    </row>
    <row r="25" spans="1:14" ht="18" customHeight="1" x14ac:dyDescent="0.2">
      <c r="A25" s="20"/>
      <c r="B25" s="23"/>
      <c r="C25" s="23"/>
      <c r="D25" s="23"/>
      <c r="E25" s="23"/>
      <c r="F25" s="23"/>
      <c r="G25" s="23"/>
      <c r="H25" s="23"/>
      <c r="I25" s="23"/>
      <c r="J25" s="23"/>
      <c r="K25" s="23"/>
      <c r="L25" s="23"/>
      <c r="M25" s="23"/>
      <c r="N25" s="20"/>
    </row>
    <row r="26" spans="1:14" ht="18" customHeight="1" x14ac:dyDescent="0.2">
      <c r="A26" s="20"/>
      <c r="B26" s="23"/>
      <c r="C26" s="23"/>
      <c r="D26" s="23"/>
      <c r="E26" s="23"/>
      <c r="F26" s="23"/>
      <c r="G26" s="23"/>
      <c r="H26" s="23"/>
      <c r="I26" s="23"/>
      <c r="J26" s="23"/>
      <c r="K26" s="23"/>
      <c r="L26" s="23"/>
      <c r="M26" s="23"/>
      <c r="N26" s="20"/>
    </row>
    <row r="27" spans="1:14" ht="18" customHeight="1" x14ac:dyDescent="0.2">
      <c r="A27" s="20"/>
      <c r="B27" s="23"/>
      <c r="C27" s="23"/>
      <c r="D27" s="23"/>
      <c r="E27" s="23"/>
      <c r="F27" s="23"/>
      <c r="G27" s="23"/>
      <c r="H27" s="23"/>
      <c r="I27" s="23"/>
      <c r="J27" s="23"/>
      <c r="K27" s="23"/>
      <c r="L27" s="23"/>
      <c r="M27" s="23"/>
      <c r="N27" s="20"/>
    </row>
    <row r="28" spans="1:14" ht="18" customHeight="1" x14ac:dyDescent="0.2">
      <c r="A28" s="20"/>
      <c r="B28" s="23"/>
      <c r="C28" s="23"/>
      <c r="D28" s="23"/>
      <c r="E28" s="23"/>
      <c r="F28" s="23"/>
      <c r="G28" s="23"/>
      <c r="H28" s="23"/>
      <c r="I28" s="23"/>
      <c r="J28" s="23"/>
      <c r="K28" s="23"/>
      <c r="L28" s="23"/>
      <c r="M28" s="23"/>
      <c r="N28" s="20"/>
    </row>
    <row r="29" spans="1:14" ht="18" customHeight="1" x14ac:dyDescent="0.2">
      <c r="A29" s="20"/>
      <c r="B29" s="23"/>
      <c r="C29" s="23"/>
      <c r="D29" s="23"/>
      <c r="E29" s="23"/>
      <c r="F29" s="23"/>
      <c r="G29" s="23"/>
      <c r="H29" s="23"/>
      <c r="I29" s="23"/>
      <c r="J29" s="23"/>
      <c r="K29" s="23"/>
      <c r="L29" s="23"/>
      <c r="M29" s="23"/>
      <c r="N29" s="20"/>
    </row>
    <row r="30" spans="1:14" ht="18" customHeight="1" x14ac:dyDescent="0.2">
      <c r="A30" s="20"/>
      <c r="B30" s="23"/>
      <c r="C30" s="23"/>
      <c r="D30" s="23"/>
      <c r="E30" s="23"/>
      <c r="F30" s="23"/>
      <c r="G30" s="23"/>
      <c r="H30" s="23"/>
      <c r="I30" s="23"/>
      <c r="J30" s="23"/>
      <c r="K30" s="23"/>
      <c r="L30" s="23"/>
      <c r="M30" s="23"/>
      <c r="N30" s="20"/>
    </row>
    <row r="31" spans="1:14" ht="18" customHeight="1" x14ac:dyDescent="0.2">
      <c r="A31" s="20"/>
      <c r="B31" s="23"/>
      <c r="C31" s="23"/>
      <c r="D31" s="23"/>
      <c r="E31" s="23"/>
      <c r="F31" s="23"/>
      <c r="G31" s="23"/>
      <c r="H31" s="23"/>
      <c r="I31" s="23"/>
      <c r="J31" s="23"/>
      <c r="K31" s="23"/>
      <c r="L31" s="23"/>
      <c r="M31" s="23"/>
      <c r="N31" s="20"/>
    </row>
    <row r="32" spans="1:14" ht="18" customHeight="1" x14ac:dyDescent="0.2">
      <c r="A32" s="20"/>
      <c r="B32" s="23"/>
      <c r="C32" s="23"/>
      <c r="D32" s="23"/>
      <c r="E32" s="23"/>
      <c r="F32" s="23"/>
      <c r="G32" s="23"/>
      <c r="H32" s="23"/>
      <c r="I32" s="23"/>
      <c r="J32" s="23"/>
      <c r="K32" s="23"/>
      <c r="L32" s="23"/>
      <c r="M32" s="23"/>
      <c r="N32" s="20"/>
    </row>
    <row r="33" spans="1:14" ht="18" customHeight="1" x14ac:dyDescent="0.2">
      <c r="A33" s="20"/>
      <c r="B33" s="23"/>
      <c r="C33" s="23"/>
      <c r="D33" s="23"/>
      <c r="E33" s="23"/>
      <c r="F33" s="23"/>
      <c r="G33" s="23"/>
      <c r="H33" s="23"/>
      <c r="I33" s="23"/>
      <c r="J33" s="23"/>
      <c r="K33" s="23"/>
      <c r="L33" s="23"/>
      <c r="M33" s="23"/>
      <c r="N33" s="20"/>
    </row>
    <row r="34" spans="1:14" ht="12" customHeight="1" x14ac:dyDescent="0.2">
      <c r="A34" s="20"/>
      <c r="B34" s="20"/>
      <c r="C34" s="20"/>
      <c r="D34" s="20"/>
      <c r="E34" s="20"/>
      <c r="F34" s="20"/>
      <c r="G34" s="20"/>
      <c r="H34" s="20"/>
      <c r="I34" s="20"/>
      <c r="J34" s="20"/>
      <c r="K34" s="20"/>
      <c r="L34" s="20"/>
      <c r="M34" s="20"/>
      <c r="N34" s="20"/>
    </row>
    <row r="35" spans="1:14" ht="21.75" customHeight="1" x14ac:dyDescent="0.2">
      <c r="A35" s="20"/>
      <c r="B35" s="83" t="s">
        <v>58</v>
      </c>
      <c r="C35" s="83"/>
      <c r="D35" s="83"/>
      <c r="E35" s="83"/>
      <c r="F35" s="23"/>
      <c r="G35" s="23"/>
      <c r="H35" s="23"/>
      <c r="I35" s="23"/>
      <c r="J35" s="23"/>
      <c r="K35" s="23"/>
      <c r="L35" s="23"/>
      <c r="M35" s="23"/>
      <c r="N35" s="20"/>
    </row>
    <row r="36" spans="1:14" ht="27.75" customHeight="1" x14ac:dyDescent="0.2">
      <c r="A36" s="20"/>
      <c r="B36" s="84" t="s">
        <v>59</v>
      </c>
      <c r="C36" s="84"/>
      <c r="D36" s="24" t="s">
        <v>60</v>
      </c>
      <c r="E36" s="24" t="s">
        <v>61</v>
      </c>
      <c r="F36" s="24" t="s">
        <v>62</v>
      </c>
      <c r="G36" s="24" t="s">
        <v>12</v>
      </c>
      <c r="H36" s="24" t="s">
        <v>53</v>
      </c>
      <c r="I36" s="24" t="s">
        <v>13</v>
      </c>
      <c r="J36" s="24" t="s">
        <v>14</v>
      </c>
      <c r="K36" s="24" t="s">
        <v>11</v>
      </c>
      <c r="L36" s="24" t="s">
        <v>63</v>
      </c>
      <c r="M36" s="24" t="s">
        <v>64</v>
      </c>
      <c r="N36" s="20"/>
    </row>
    <row r="37" spans="1:14" ht="19.5" customHeight="1" x14ac:dyDescent="0.2">
      <c r="A37" s="20"/>
      <c r="B37" s="80" t="s">
        <v>24</v>
      </c>
      <c r="C37" s="80"/>
      <c r="D37" s="25">
        <f>COUNTIF('Campaign Data'!$G$5:$G$21,$B37)</f>
        <v>11</v>
      </c>
      <c r="E37" s="25">
        <f>SUMIF('Campaign Data'!$G$5:$G$21,$B37,'Campaign Data'!$H$5:$H$21)</f>
        <v>0</v>
      </c>
      <c r="F37" s="25">
        <f>SUMIF('Campaign Data'!$G$5:$G$21,$B37,'Campaign Data'!$I$5:$I$21)</f>
        <v>15356.97</v>
      </c>
      <c r="G37" s="25">
        <f>SUMIF('Campaign Data'!$G$5:$G$21,$B37,'Campaign Data'!$K$5:$K$21)</f>
        <v>593804</v>
      </c>
      <c r="H37" s="26">
        <f t="shared" ref="H37:H43" si="0">IFERROR(F37/G37*1000,"")</f>
        <v>25.862018443796266</v>
      </c>
      <c r="I37" s="25">
        <f>SUMIF('Campaign Data'!$G$5:$G$21,$B37,'Campaign Data'!$L$5:$L$21)</f>
        <v>235141</v>
      </c>
      <c r="J37" s="25">
        <f>SUMIF('Campaign Data'!$G$5:$G$21,$B37,'Campaign Data'!$M$5:$M$21)</f>
        <v>9</v>
      </c>
      <c r="K37" s="25">
        <f>SUMIF('Campaign Data'!$G$5:$G$21,$B37,'Campaign Data'!$J$5:$J$21)</f>
        <v>877</v>
      </c>
      <c r="L37" s="26">
        <f t="shared" ref="L37:L43" si="1">IFERROR(F37/K37,"")</f>
        <v>17.51079817559863</v>
      </c>
      <c r="M37" s="27">
        <f>IFERROR(F37/'Campaign Data'!$I$22,"")</f>
        <v>0.79772489268067681</v>
      </c>
      <c r="N37" s="20"/>
    </row>
    <row r="38" spans="1:14" ht="19.5" customHeight="1" x14ac:dyDescent="0.2">
      <c r="A38" s="20"/>
      <c r="B38" s="79" t="s">
        <v>14</v>
      </c>
      <c r="C38" s="79"/>
      <c r="D38" s="28">
        <f>COUNTIF('Campaign Data'!$G$5:$G$21,$B38)</f>
        <v>2</v>
      </c>
      <c r="E38" s="28">
        <f>SUMIF('Campaign Data'!$G$5:$G$21,$B38,'Campaign Data'!$H$5:$H$21)</f>
        <v>0</v>
      </c>
      <c r="F38" s="28">
        <f>SUMIF('Campaign Data'!$G$5:$G$21,$B38,'Campaign Data'!$I$5:$I$21)</f>
        <v>3893.99</v>
      </c>
      <c r="G38" s="28">
        <f>SUMIF('Campaign Data'!$G$5:$G$21,$B38,'Campaign Data'!$K$5:$K$21)</f>
        <v>178013</v>
      </c>
      <c r="H38" s="29">
        <f t="shared" si="0"/>
        <v>21.874750720452997</v>
      </c>
      <c r="I38" s="28">
        <f>SUMIF('Campaign Data'!$G$5:$G$21,$B38,'Campaign Data'!$L$5:$L$21)</f>
        <v>56746</v>
      </c>
      <c r="J38" s="28">
        <f>SUMIF('Campaign Data'!$G$5:$G$21,$B38,'Campaign Data'!$M$5:$M$21)</f>
        <v>5</v>
      </c>
      <c r="K38" s="28">
        <f>SUMIF('Campaign Data'!$G$5:$G$21,$B38,'Campaign Data'!$J$5:$J$21)</f>
        <v>5</v>
      </c>
      <c r="L38" s="29">
        <f t="shared" si="1"/>
        <v>778.798</v>
      </c>
      <c r="M38" s="30">
        <f>IFERROR(F38/'Campaign Data'!$I$22,"")</f>
        <v>0.20227510731932333</v>
      </c>
      <c r="N38" s="20"/>
    </row>
    <row r="39" spans="1:14" ht="19.5" customHeight="1" x14ac:dyDescent="0.2">
      <c r="A39" s="20"/>
      <c r="B39" s="80" t="s">
        <v>65</v>
      </c>
      <c r="C39" s="80"/>
      <c r="D39" s="25">
        <f>COUNTIF('Campaign Data'!$G$5:$G$21,$B39)</f>
        <v>0</v>
      </c>
      <c r="E39" s="25">
        <f>SUMIF('Campaign Data'!$G$5:$G$21,$B39,'Campaign Data'!$H$5:$H$21)</f>
        <v>0</v>
      </c>
      <c r="F39" s="25">
        <f>SUMIF('Campaign Data'!$G$5:$G$21,$B39,'Campaign Data'!$I$5:$I$21)</f>
        <v>0</v>
      </c>
      <c r="G39" s="25">
        <f>SUMIF('Campaign Data'!$G$5:$G$21,$B39,'Campaign Data'!$K$5:$K$21)</f>
        <v>0</v>
      </c>
      <c r="H39" s="26" t="str">
        <f t="shared" si="0"/>
        <v/>
      </c>
      <c r="I39" s="25">
        <f>SUMIF('Campaign Data'!$G$5:$G$21,$B39,'Campaign Data'!$L$5:$L$21)</f>
        <v>0</v>
      </c>
      <c r="J39" s="25">
        <f>SUMIF('Campaign Data'!$G$5:$G$21,$B39,'Campaign Data'!$M$5:$M$21)</f>
        <v>0</v>
      </c>
      <c r="K39" s="25">
        <f>SUMIF('Campaign Data'!$G$5:$G$21,$B39,'Campaign Data'!$J$5:$J$21)</f>
        <v>0</v>
      </c>
      <c r="L39" s="26" t="str">
        <f t="shared" si="1"/>
        <v/>
      </c>
      <c r="M39" s="27">
        <f>IFERROR(F39/'Campaign Data'!$I$22,"")</f>
        <v>0</v>
      </c>
      <c r="N39" s="20"/>
    </row>
    <row r="40" spans="1:14" ht="19.5" customHeight="1" x14ac:dyDescent="0.2">
      <c r="A40" s="20"/>
      <c r="B40" s="79" t="s">
        <v>66</v>
      </c>
      <c r="C40" s="79"/>
      <c r="D40" s="28">
        <f>COUNTIF('Campaign Data'!$G$5:$G$21,$B40)</f>
        <v>0</v>
      </c>
      <c r="E40" s="28">
        <f>SUMIF('Campaign Data'!$G$5:$G$21,$B40,'Campaign Data'!$H$5:$H$21)</f>
        <v>0</v>
      </c>
      <c r="F40" s="28">
        <f>SUMIF('Campaign Data'!$G$5:$G$21,$B40,'Campaign Data'!$I$5:$I$21)</f>
        <v>0</v>
      </c>
      <c r="G40" s="28">
        <f>SUMIF('Campaign Data'!$G$5:$G$21,$B40,'Campaign Data'!$K$5:$K$21)</f>
        <v>0</v>
      </c>
      <c r="H40" s="29" t="str">
        <f t="shared" si="0"/>
        <v/>
      </c>
      <c r="I40" s="28">
        <f>SUMIF('Campaign Data'!$G$5:$G$21,$B40,'Campaign Data'!$L$5:$L$21)</f>
        <v>0</v>
      </c>
      <c r="J40" s="28">
        <f>SUMIF('Campaign Data'!$G$5:$G$21,$B40,'Campaign Data'!$M$5:$M$21)</f>
        <v>0</v>
      </c>
      <c r="K40" s="28">
        <f>SUMIF('Campaign Data'!$G$5:$G$21,$B40,'Campaign Data'!$J$5:$J$21)</f>
        <v>0</v>
      </c>
      <c r="L40" s="29" t="str">
        <f t="shared" si="1"/>
        <v/>
      </c>
      <c r="M40" s="30">
        <f>IFERROR(F40/'Campaign Data'!$I$22,"")</f>
        <v>0</v>
      </c>
      <c r="N40" s="20"/>
    </row>
    <row r="41" spans="1:14" ht="19.5" customHeight="1" x14ac:dyDescent="0.2">
      <c r="A41" s="20"/>
      <c r="B41" s="80" t="s">
        <v>13</v>
      </c>
      <c r="C41" s="80"/>
      <c r="D41" s="25">
        <f>COUNTIF('Campaign Data'!$G$5:$G$21,$B41)</f>
        <v>0</v>
      </c>
      <c r="E41" s="25">
        <f>SUMIF('Campaign Data'!$G$5:$G$21,$B41,'Campaign Data'!$H$5:$H$21)</f>
        <v>0</v>
      </c>
      <c r="F41" s="25">
        <f>SUMIF('Campaign Data'!$G$5:$G$21,$B41,'Campaign Data'!$I$5:$I$21)</f>
        <v>0</v>
      </c>
      <c r="G41" s="25">
        <f>SUMIF('Campaign Data'!$G$5:$G$21,$B41,'Campaign Data'!$K$5:$K$21)</f>
        <v>0</v>
      </c>
      <c r="H41" s="26" t="str">
        <f t="shared" si="0"/>
        <v/>
      </c>
      <c r="I41" s="25">
        <f>SUMIF('Campaign Data'!$G$5:$G$21,$B41,'Campaign Data'!$L$5:$L$21)</f>
        <v>0</v>
      </c>
      <c r="J41" s="25">
        <f>SUMIF('Campaign Data'!$G$5:$G$21,$B41,'Campaign Data'!$M$5:$M$21)</f>
        <v>0</v>
      </c>
      <c r="K41" s="25">
        <f>SUMIF('Campaign Data'!$G$5:$G$21,$B41,'Campaign Data'!$J$5:$J$21)</f>
        <v>0</v>
      </c>
      <c r="L41" s="26" t="str">
        <f t="shared" si="1"/>
        <v/>
      </c>
      <c r="M41" s="27">
        <f>IFERROR(F41/'Campaign Data'!$I$22,"")</f>
        <v>0</v>
      </c>
      <c r="N41" s="20"/>
    </row>
    <row r="42" spans="1:14" ht="19.5" customHeight="1" x14ac:dyDescent="0.2">
      <c r="A42" s="20"/>
      <c r="B42" s="79" t="s">
        <v>67</v>
      </c>
      <c r="C42" s="79"/>
      <c r="D42" s="28">
        <f>COUNTIF('Campaign Data'!$G$5:$G$21,$B42)</f>
        <v>0</v>
      </c>
      <c r="E42" s="28">
        <f>SUMIF('Campaign Data'!$G$5:$G$21,$B42,'Campaign Data'!$H$5:$H$21)</f>
        <v>0</v>
      </c>
      <c r="F42" s="28">
        <f>SUMIF('Campaign Data'!$G$5:$G$21,$B42,'Campaign Data'!$I$5:$I$21)</f>
        <v>0</v>
      </c>
      <c r="G42" s="28">
        <f>SUMIF('Campaign Data'!$G$5:$G$21,$B42,'Campaign Data'!$K$5:$K$21)</f>
        <v>0</v>
      </c>
      <c r="H42" s="29" t="str">
        <f t="shared" si="0"/>
        <v/>
      </c>
      <c r="I42" s="28">
        <f>SUMIF('Campaign Data'!$G$5:$G$21,$B42,'Campaign Data'!$L$5:$L$21)</f>
        <v>0</v>
      </c>
      <c r="J42" s="28">
        <f>SUMIF('Campaign Data'!$G$5:$G$21,$B42,'Campaign Data'!$M$5:$M$21)</f>
        <v>0</v>
      </c>
      <c r="K42" s="28">
        <f>SUMIF('Campaign Data'!$G$5:$G$21,$B42,'Campaign Data'!$J$5:$J$21)</f>
        <v>0</v>
      </c>
      <c r="L42" s="29" t="str">
        <f t="shared" si="1"/>
        <v/>
      </c>
      <c r="M42" s="30">
        <f>IFERROR(F42/'Campaign Data'!$I$22,"")</f>
        <v>0</v>
      </c>
      <c r="N42" s="20"/>
    </row>
    <row r="43" spans="1:14" ht="21.75" customHeight="1" x14ac:dyDescent="0.2">
      <c r="A43" s="20"/>
      <c r="B43" s="81" t="s">
        <v>68</v>
      </c>
      <c r="C43" s="81"/>
      <c r="D43" s="32">
        <f>SUM(D37:D42)</f>
        <v>13</v>
      </c>
      <c r="E43" s="32">
        <f>SUM(E37:E42)</f>
        <v>0</v>
      </c>
      <c r="F43" s="32">
        <f>SUM(F37:F42)</f>
        <v>19250.96</v>
      </c>
      <c r="G43" s="32">
        <f>SUM(G37:G42)</f>
        <v>771817</v>
      </c>
      <c r="H43" s="33">
        <f t="shared" si="0"/>
        <v>24.942389193293227</v>
      </c>
      <c r="I43" s="32">
        <f>SUM(I37:I42)</f>
        <v>291887</v>
      </c>
      <c r="J43" s="32">
        <f>SUM(J37:J42)</f>
        <v>14</v>
      </c>
      <c r="K43" s="32">
        <f>SUM(K37:K42)</f>
        <v>882</v>
      </c>
      <c r="L43" s="33">
        <f t="shared" si="1"/>
        <v>21.826485260770973</v>
      </c>
      <c r="M43" s="34">
        <f>IFERROR(F43/'Campaign Data'!$I$22,"")</f>
        <v>1.0000000000000002</v>
      </c>
      <c r="N43" s="20"/>
    </row>
    <row r="44" spans="1:14" ht="7.5" customHeight="1" x14ac:dyDescent="0.2">
      <c r="A44" s="20"/>
      <c r="B44" s="23"/>
      <c r="C44" s="23"/>
      <c r="D44" s="23"/>
      <c r="E44" s="23"/>
      <c r="F44" s="23"/>
      <c r="G44" s="23"/>
      <c r="H44" s="23"/>
      <c r="I44" s="23"/>
      <c r="J44" s="23"/>
      <c r="K44" s="23"/>
      <c r="L44" s="23"/>
      <c r="M44" s="23"/>
      <c r="N44" s="20"/>
    </row>
    <row r="45" spans="1:14" ht="7.5" customHeight="1" x14ac:dyDescent="0.2">
      <c r="A45" s="20"/>
      <c r="B45" s="20"/>
      <c r="C45" s="20"/>
      <c r="D45" s="20"/>
      <c r="E45" s="20"/>
      <c r="F45" s="20"/>
      <c r="G45" s="20"/>
      <c r="H45" s="20"/>
      <c r="I45" s="20"/>
      <c r="J45" s="20"/>
      <c r="K45" s="20"/>
      <c r="L45" s="20"/>
      <c r="M45" s="20"/>
      <c r="N45" s="20"/>
    </row>
    <row r="46" spans="1:14" ht="15.75" customHeight="1" x14ac:dyDescent="0.2">
      <c r="A46" s="20"/>
      <c r="B46" s="82" t="s">
        <v>69</v>
      </c>
      <c r="C46" s="82"/>
      <c r="D46" s="82"/>
      <c r="E46" s="82"/>
      <c r="F46" s="82"/>
      <c r="G46" s="82"/>
      <c r="H46" s="82"/>
      <c r="I46" s="82"/>
      <c r="J46" s="82"/>
      <c r="K46" s="82"/>
      <c r="L46" s="82"/>
      <c r="M46" s="82"/>
      <c r="N46" s="20"/>
    </row>
    <row r="47" spans="1:14" x14ac:dyDescent="0.2">
      <c r="A47" s="20"/>
      <c r="B47" s="20"/>
      <c r="C47" s="20"/>
      <c r="D47" s="20"/>
      <c r="E47" s="20"/>
      <c r="F47" s="20"/>
      <c r="G47" s="20"/>
      <c r="H47" s="20"/>
      <c r="I47" s="20"/>
      <c r="J47" s="20"/>
      <c r="K47" s="20"/>
      <c r="L47" s="20"/>
      <c r="M47" s="20"/>
      <c r="N47" s="20"/>
    </row>
    <row r="48" spans="1:14" x14ac:dyDescent="0.2">
      <c r="A48" s="20"/>
      <c r="B48" s="20"/>
      <c r="C48" s="20"/>
      <c r="D48" s="20"/>
      <c r="E48" s="20"/>
      <c r="F48" s="20"/>
      <c r="G48" s="20"/>
      <c r="H48" s="20"/>
      <c r="I48" s="20"/>
      <c r="J48" s="20"/>
      <c r="K48" s="20"/>
      <c r="L48" s="20"/>
      <c r="M48" s="20"/>
      <c r="N48" s="20"/>
    </row>
    <row r="49" spans="1:14" x14ac:dyDescent="0.2">
      <c r="A49" s="20"/>
      <c r="B49" s="20"/>
      <c r="C49" s="20"/>
      <c r="D49" s="20"/>
      <c r="E49" s="20"/>
      <c r="F49" s="20"/>
      <c r="G49" s="20"/>
      <c r="H49" s="20"/>
      <c r="I49" s="20"/>
      <c r="J49" s="20"/>
      <c r="K49" s="20"/>
      <c r="L49" s="20"/>
      <c r="M49" s="20"/>
      <c r="N49" s="20"/>
    </row>
    <row r="50" spans="1:14" x14ac:dyDescent="0.2">
      <c r="A50" s="20"/>
      <c r="B50" s="20"/>
      <c r="C50" s="20"/>
      <c r="D50" s="20"/>
      <c r="E50" s="20"/>
      <c r="F50" s="20"/>
      <c r="G50" s="20"/>
      <c r="H50" s="20"/>
      <c r="I50" s="20"/>
      <c r="J50" s="20"/>
      <c r="K50" s="20"/>
      <c r="L50" s="20"/>
      <c r="M50" s="20"/>
      <c r="N50" s="20"/>
    </row>
    <row r="51" spans="1:14" x14ac:dyDescent="0.2">
      <c r="A51" s="20"/>
      <c r="B51" s="20"/>
      <c r="C51" s="20"/>
      <c r="D51" s="20"/>
      <c r="E51" s="20"/>
      <c r="F51" s="20"/>
      <c r="G51" s="20"/>
      <c r="H51" s="20"/>
      <c r="I51" s="20"/>
      <c r="J51" s="20"/>
      <c r="K51" s="20"/>
      <c r="L51" s="20"/>
      <c r="M51" s="20"/>
      <c r="N51" s="20"/>
    </row>
    <row r="52" spans="1:14" x14ac:dyDescent="0.2">
      <c r="A52" s="20"/>
      <c r="B52" s="20"/>
      <c r="C52" s="20"/>
      <c r="D52" s="20"/>
      <c r="E52" s="20"/>
      <c r="F52" s="20"/>
      <c r="G52" s="20"/>
      <c r="H52" s="20"/>
      <c r="I52" s="20"/>
      <c r="J52" s="20"/>
      <c r="K52" s="20"/>
      <c r="L52" s="20"/>
      <c r="M52" s="20"/>
      <c r="N52" s="20"/>
    </row>
    <row r="53" spans="1:14" x14ac:dyDescent="0.2">
      <c r="A53" s="20"/>
      <c r="B53" s="20"/>
      <c r="C53" s="20"/>
      <c r="D53" s="20"/>
      <c r="E53" s="20"/>
      <c r="F53" s="20"/>
      <c r="G53" s="20"/>
      <c r="H53" s="20"/>
      <c r="I53" s="20"/>
      <c r="J53" s="20"/>
      <c r="K53" s="20"/>
      <c r="L53" s="20"/>
      <c r="M53" s="20"/>
      <c r="N53" s="20"/>
    </row>
    <row r="54" spans="1:14" x14ac:dyDescent="0.2">
      <c r="A54" s="20"/>
      <c r="B54" s="20"/>
      <c r="C54" s="20"/>
      <c r="D54" s="20"/>
      <c r="E54" s="20"/>
      <c r="F54" s="20"/>
      <c r="G54" s="20"/>
      <c r="H54" s="20"/>
      <c r="I54" s="20"/>
      <c r="J54" s="20"/>
      <c r="K54" s="20"/>
      <c r="L54" s="20"/>
      <c r="M54" s="20"/>
      <c r="N54" s="20"/>
    </row>
    <row r="55" spans="1:14" x14ac:dyDescent="0.2">
      <c r="A55" s="20"/>
      <c r="B55" s="20"/>
      <c r="C55" s="20"/>
      <c r="D55" s="20"/>
      <c r="E55" s="20"/>
      <c r="F55" s="20"/>
      <c r="G55" s="20"/>
      <c r="H55" s="20"/>
      <c r="I55" s="20"/>
      <c r="J55" s="20"/>
      <c r="K55" s="20"/>
      <c r="L55" s="20"/>
      <c r="M55" s="20"/>
      <c r="N55" s="20"/>
    </row>
    <row r="56" spans="1:14" x14ac:dyDescent="0.2">
      <c r="A56" s="20"/>
      <c r="B56" s="20"/>
      <c r="C56" s="20"/>
      <c r="D56" s="20"/>
      <c r="E56" s="20"/>
      <c r="F56" s="20"/>
      <c r="G56" s="20"/>
      <c r="H56" s="20"/>
      <c r="I56" s="20"/>
      <c r="J56" s="20"/>
      <c r="K56" s="20"/>
      <c r="L56" s="20"/>
      <c r="M56" s="20"/>
      <c r="N56" s="20"/>
    </row>
    <row r="57" spans="1:14" x14ac:dyDescent="0.2">
      <c r="A57" s="20"/>
      <c r="B57" s="20"/>
      <c r="C57" s="20"/>
      <c r="D57" s="20"/>
      <c r="E57" s="20"/>
      <c r="F57" s="20"/>
      <c r="G57" s="20"/>
      <c r="H57" s="20"/>
      <c r="I57" s="20"/>
      <c r="J57" s="20"/>
      <c r="K57" s="20"/>
      <c r="L57" s="20"/>
      <c r="M57" s="20"/>
      <c r="N57" s="20"/>
    </row>
    <row r="58" spans="1:14" x14ac:dyDescent="0.2">
      <c r="A58" s="20"/>
      <c r="B58" s="20"/>
      <c r="C58" s="20"/>
      <c r="D58" s="20"/>
      <c r="E58" s="20"/>
      <c r="F58" s="20"/>
      <c r="G58" s="20"/>
      <c r="H58" s="20"/>
      <c r="I58" s="20"/>
      <c r="J58" s="20"/>
      <c r="K58" s="20"/>
      <c r="L58" s="20"/>
      <c r="M58" s="20"/>
      <c r="N58" s="20"/>
    </row>
    <row r="59" spans="1:14" x14ac:dyDescent="0.2">
      <c r="A59" s="20"/>
      <c r="B59" s="20"/>
      <c r="C59" s="20"/>
      <c r="D59" s="20"/>
      <c r="E59" s="20"/>
      <c r="F59" s="20"/>
      <c r="G59" s="20"/>
      <c r="H59" s="20"/>
      <c r="I59" s="20"/>
      <c r="J59" s="20"/>
      <c r="K59" s="20"/>
      <c r="L59" s="20"/>
      <c r="M59" s="20"/>
      <c r="N59" s="20"/>
    </row>
  </sheetData>
  <mergeCells count="40">
    <mergeCell ref="B3:H3"/>
    <mergeCell ref="I3:M3"/>
    <mergeCell ref="B6:D6"/>
    <mergeCell ref="J6:L6"/>
    <mergeCell ref="B8:C8"/>
    <mergeCell ref="D8:E8"/>
    <mergeCell ref="F8:G8"/>
    <mergeCell ref="H8:I8"/>
    <mergeCell ref="B9:C9"/>
    <mergeCell ref="D9:E9"/>
    <mergeCell ref="F9:G9"/>
    <mergeCell ref="H9:I9"/>
    <mergeCell ref="B11:C11"/>
    <mergeCell ref="D11:E11"/>
    <mergeCell ref="F11:G11"/>
    <mergeCell ref="H11:I11"/>
    <mergeCell ref="B12:C12"/>
    <mergeCell ref="D12:E12"/>
    <mergeCell ref="F12:G12"/>
    <mergeCell ref="H12:I12"/>
    <mergeCell ref="B14:C14"/>
    <mergeCell ref="D14:E14"/>
    <mergeCell ref="F14:G14"/>
    <mergeCell ref="H14:I14"/>
    <mergeCell ref="B15:C15"/>
    <mergeCell ref="D15:E15"/>
    <mergeCell ref="F15:G15"/>
    <mergeCell ref="H15:I15"/>
    <mergeCell ref="B19:D19"/>
    <mergeCell ref="H19:J19"/>
    <mergeCell ref="B35:E35"/>
    <mergeCell ref="B36:C36"/>
    <mergeCell ref="B37:C37"/>
    <mergeCell ref="B38:C38"/>
    <mergeCell ref="B39:C39"/>
    <mergeCell ref="B40:C40"/>
    <mergeCell ref="B41:C41"/>
    <mergeCell ref="B42:C42"/>
    <mergeCell ref="B43:C43"/>
    <mergeCell ref="B46:M46"/>
  </mergeCells>
  <conditionalFormatting sqref="F37:F42">
    <cfRule type="dataBar" priority="2">
      <dataBar>
        <cfvo type="num" val="0"/>
        <cfvo type="max"/>
        <color rgb="FF00A9BC"/>
      </dataBar>
      <extLst>
        <ext xmlns:x14="http://schemas.microsoft.com/office/spreadsheetml/2009/9/main" uri="{B025F937-C7B1-47D3-B67F-A62EFF666E3E}">
          <x14:id>{1F621C7B-279F-412C-BDF6-5E6E5F4072FE}</x14:id>
        </ext>
      </extLst>
    </cfRule>
  </conditionalFormatting>
  <conditionalFormatting sqref="G37:G42">
    <cfRule type="dataBar" priority="3">
      <dataBar>
        <cfvo type="num" val="0"/>
        <cfvo type="max"/>
        <color rgb="FF6FD4E0"/>
      </dataBar>
      <extLst>
        <ext xmlns:x14="http://schemas.microsoft.com/office/spreadsheetml/2009/9/main" uri="{B025F937-C7B1-47D3-B67F-A62EFF666E3E}">
          <x14:id>{F64F2742-C8B4-42EB-9FBE-1C2D661E3B48}</x14:id>
        </ext>
      </extLst>
    </cfRule>
  </conditionalFormatting>
  <conditionalFormatting sqref="I37:I42">
    <cfRule type="dataBar" priority="4">
      <dataBar>
        <cfvo type="num" val="0"/>
        <cfvo type="max"/>
        <color rgb="FFB4E6ED"/>
      </dataBar>
      <extLst>
        <ext xmlns:x14="http://schemas.microsoft.com/office/spreadsheetml/2009/9/main" uri="{B025F937-C7B1-47D3-B67F-A62EFF666E3E}">
          <x14:id>{3F744361-CF5A-4D8E-98A6-1B13D99B98F0}</x14:id>
        </ext>
      </extLst>
    </cfRule>
  </conditionalFormatting>
  <conditionalFormatting sqref="K37:K42">
    <cfRule type="dataBar" priority="5">
      <dataBar>
        <cfvo type="num" val="0"/>
        <cfvo type="max"/>
        <color rgb="FF00707E"/>
      </dataBar>
      <extLst>
        <ext xmlns:x14="http://schemas.microsoft.com/office/spreadsheetml/2009/9/main" uri="{B025F937-C7B1-47D3-B67F-A62EFF666E3E}">
          <x14:id>{2428AE9D-82B1-40E6-A7B0-D46C3B879BA6}</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1F621C7B-279F-412C-BDF6-5E6E5F4072FE}">
            <x14:dataBar axisPosition="none">
              <x14:cfvo type="num">
                <xm:f>0</xm:f>
              </x14:cfvo>
              <x14:cfvo type="max"/>
              <x14:negativeFillColor rgb="FF00A9BC"/>
            </x14:dataBar>
          </x14:cfRule>
          <xm:sqref>F37:F42</xm:sqref>
        </x14:conditionalFormatting>
        <x14:conditionalFormatting xmlns:xm="http://schemas.microsoft.com/office/excel/2006/main">
          <x14:cfRule type="dataBar" id="{F64F2742-C8B4-42EB-9FBE-1C2D661E3B48}">
            <x14:dataBar axisPosition="none">
              <x14:cfvo type="num">
                <xm:f>0</xm:f>
              </x14:cfvo>
              <x14:cfvo type="max"/>
              <x14:negativeFillColor rgb="FF6FD4E0"/>
            </x14:dataBar>
          </x14:cfRule>
          <xm:sqref>G37:G42</xm:sqref>
        </x14:conditionalFormatting>
        <x14:conditionalFormatting xmlns:xm="http://schemas.microsoft.com/office/excel/2006/main">
          <x14:cfRule type="dataBar" id="{3F744361-CF5A-4D8E-98A6-1B13D99B98F0}">
            <x14:dataBar axisPosition="none">
              <x14:cfvo type="num">
                <xm:f>0</xm:f>
              </x14:cfvo>
              <x14:cfvo type="max"/>
              <x14:negativeFillColor rgb="FFB4E6ED"/>
            </x14:dataBar>
          </x14:cfRule>
          <xm:sqref>I37:I42</xm:sqref>
        </x14:conditionalFormatting>
        <x14:conditionalFormatting xmlns:xm="http://schemas.microsoft.com/office/excel/2006/main">
          <x14:cfRule type="dataBar" id="{2428AE9D-82B1-40E6-A7B0-D46C3B879BA6}">
            <x14:dataBar axisPosition="none">
              <x14:cfvo type="num">
                <xm:f>0</xm:f>
              </x14:cfvo>
              <x14:cfvo type="max"/>
              <x14:negativeFillColor rgb="FF00707E"/>
            </x14:dataBar>
          </x14:cfRule>
          <xm:sqref>K37:K42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7E"/>
  </sheetPr>
  <dimension ref="A1:V164"/>
  <sheetViews>
    <sheetView showGridLines="0" zoomScaleNormal="100" workbookViewId="0">
      <pane xSplit="1" ySplit="8" topLeftCell="B155" activePane="bottomRight" state="frozen"/>
      <selection pane="topRight" activeCell="B1" sqref="B1"/>
      <selection pane="bottomLeft" activeCell="A9" sqref="A9"/>
      <selection pane="bottomRight" activeCell="K167" sqref="K167"/>
    </sheetView>
  </sheetViews>
  <sheetFormatPr baseColWidth="10" defaultColWidth="8.6640625" defaultRowHeight="15" x14ac:dyDescent="0.2"/>
  <cols>
    <col min="1" max="1" width="2" customWidth="1"/>
    <col min="2" max="2" width="32" customWidth="1"/>
    <col min="3" max="3" width="13" customWidth="1"/>
    <col min="4" max="5" width="12" customWidth="1"/>
    <col min="6" max="6" width="9" customWidth="1"/>
    <col min="7" max="7" width="17" customWidth="1"/>
    <col min="8" max="8" width="13" customWidth="1"/>
    <col min="9" max="9" width="15" customWidth="1"/>
    <col min="10" max="10" width="12" customWidth="1"/>
    <col min="11" max="11" width="6" customWidth="1"/>
    <col min="12" max="12" width="13" customWidth="1"/>
    <col min="13" max="13" width="9" customWidth="1"/>
    <col min="14" max="15" width="12" customWidth="1"/>
    <col min="16" max="16" width="11" customWidth="1"/>
    <col min="17" max="17" width="9" customWidth="1"/>
    <col min="18" max="18" width="26" customWidth="1"/>
    <col min="19" max="22" width="15" customWidth="1"/>
  </cols>
  <sheetData>
    <row r="1" spans="1:22" x14ac:dyDescent="0.2">
      <c r="A1" s="35"/>
      <c r="B1" s="35"/>
      <c r="C1" s="35"/>
      <c r="D1" s="35"/>
      <c r="E1" s="35"/>
      <c r="F1" s="35"/>
      <c r="G1" s="35"/>
      <c r="H1" s="35"/>
      <c r="I1" s="35"/>
      <c r="J1" s="35"/>
      <c r="K1" s="35"/>
      <c r="L1" s="35"/>
      <c r="M1" s="35"/>
      <c r="N1" s="35"/>
      <c r="O1" s="35"/>
      <c r="P1" s="35"/>
      <c r="Q1" s="35"/>
      <c r="R1" s="35"/>
      <c r="S1" s="35"/>
    </row>
    <row r="2" spans="1:22" ht="21.75" customHeight="1" x14ac:dyDescent="0.2">
      <c r="A2" s="35"/>
      <c r="B2" s="73" t="s">
        <v>70</v>
      </c>
      <c r="C2" s="73"/>
      <c r="D2" s="73"/>
      <c r="E2" s="73"/>
      <c r="F2" s="73"/>
      <c r="G2" s="73"/>
      <c r="H2" s="73"/>
      <c r="I2" s="73"/>
      <c r="J2" s="73"/>
      <c r="K2" s="73"/>
      <c r="L2" s="73"/>
      <c r="M2" s="73"/>
      <c r="N2" s="73"/>
      <c r="O2" s="73"/>
      <c r="P2" s="73"/>
      <c r="Q2" s="73"/>
      <c r="R2" s="73"/>
      <c r="S2" s="73"/>
    </row>
    <row r="3" spans="1:22" ht="13.5" customHeight="1" x14ac:dyDescent="0.2">
      <c r="A3" s="35"/>
      <c r="B3" s="73"/>
      <c r="C3" s="73"/>
      <c r="D3" s="73"/>
      <c r="E3" s="73"/>
      <c r="F3" s="73"/>
      <c r="G3" s="73"/>
      <c r="H3" s="73"/>
      <c r="I3" s="73"/>
      <c r="J3" s="73"/>
      <c r="K3" s="73"/>
      <c r="L3" s="73"/>
      <c r="M3" s="73"/>
      <c r="N3" s="73"/>
      <c r="O3" s="73"/>
      <c r="P3" s="73"/>
      <c r="Q3" s="73"/>
      <c r="R3" s="73"/>
      <c r="S3" s="73"/>
    </row>
    <row r="4" spans="1:22" ht="7.5" customHeight="1" x14ac:dyDescent="0.2">
      <c r="A4" s="35"/>
      <c r="B4" s="35"/>
      <c r="C4" s="35"/>
      <c r="D4" s="35"/>
      <c r="E4" s="35"/>
      <c r="F4" s="35"/>
      <c r="G4" s="35"/>
      <c r="H4" s="35"/>
      <c r="I4" s="35"/>
      <c r="J4" s="35"/>
      <c r="K4" s="35"/>
      <c r="L4" s="35"/>
      <c r="M4" s="35"/>
      <c r="N4" s="35"/>
      <c r="O4" s="35"/>
      <c r="P4" s="35"/>
      <c r="Q4" s="35"/>
      <c r="R4" s="35"/>
      <c r="S4" s="35"/>
    </row>
    <row r="5" spans="1:22" ht="19.5" customHeight="1" x14ac:dyDescent="0.2">
      <c r="A5" s="35"/>
      <c r="B5" s="74" t="s">
        <v>71</v>
      </c>
      <c r="C5" s="74"/>
      <c r="D5" s="74"/>
      <c r="E5" s="74"/>
      <c r="F5" s="74"/>
      <c r="G5" s="74"/>
      <c r="H5" s="74"/>
      <c r="I5" s="74"/>
      <c r="J5" s="74"/>
      <c r="K5" s="74"/>
      <c r="L5" s="74"/>
      <c r="M5" s="74"/>
      <c r="N5" s="74"/>
      <c r="O5" s="74"/>
      <c r="P5" s="74"/>
      <c r="Q5" s="74"/>
      <c r="R5" s="74"/>
      <c r="S5" s="74"/>
    </row>
    <row r="6" spans="1:22" ht="13.5" customHeight="1" x14ac:dyDescent="0.2">
      <c r="A6" s="35"/>
      <c r="B6" s="36" t="s">
        <v>72</v>
      </c>
      <c r="C6" s="35"/>
      <c r="D6" s="36" t="s">
        <v>73</v>
      </c>
      <c r="E6" s="35"/>
      <c r="F6" s="36" t="s">
        <v>74</v>
      </c>
      <c r="G6" s="35"/>
      <c r="H6" s="36" t="s">
        <v>75</v>
      </c>
      <c r="I6" s="35"/>
      <c r="J6" s="35"/>
      <c r="K6" s="36" t="s">
        <v>76</v>
      </c>
      <c r="L6" s="35"/>
      <c r="M6" s="36" t="s">
        <v>77</v>
      </c>
      <c r="N6" s="35"/>
      <c r="O6" s="36" t="s">
        <v>78</v>
      </c>
      <c r="P6" s="35"/>
      <c r="Q6" s="36" t="s">
        <v>79</v>
      </c>
      <c r="R6" s="35"/>
      <c r="S6" s="35"/>
      <c r="T6" s="37" t="s">
        <v>80</v>
      </c>
    </row>
    <row r="7" spans="1:22" ht="25.5" customHeight="1" x14ac:dyDescent="0.2">
      <c r="A7" s="35"/>
      <c r="B7" s="75">
        <f>COUNTA(B9:B156)</f>
        <v>148</v>
      </c>
      <c r="C7" s="75"/>
      <c r="D7" s="76">
        <f>SUM(L9:L156)</f>
        <v>414246.19249999989</v>
      </c>
      <c r="E7" s="76"/>
      <c r="F7" s="75">
        <f>COUNTIF(L9:L156,"&gt;0")</f>
        <v>103</v>
      </c>
      <c r="G7" s="75"/>
      <c r="H7" s="75">
        <f>SUM(O9:O156)</f>
        <v>69526460</v>
      </c>
      <c r="I7" s="75"/>
      <c r="J7" s="75"/>
      <c r="K7" s="75">
        <f>SUM(P9:P156)</f>
        <v>24471044</v>
      </c>
      <c r="L7" s="75"/>
      <c r="M7" s="75">
        <f>SUM(Q9:Q156)</f>
        <v>66</v>
      </c>
      <c r="N7" s="75"/>
      <c r="O7" s="75">
        <f>COUNT(S9:S156)</f>
        <v>102</v>
      </c>
      <c r="P7" s="75"/>
      <c r="Q7" s="77">
        <v>3.75</v>
      </c>
      <c r="R7" s="77"/>
      <c r="S7" s="77"/>
      <c r="T7" s="38" t="s">
        <v>81</v>
      </c>
    </row>
    <row r="8" spans="1:22" ht="25.5" customHeight="1" x14ac:dyDescent="0.2">
      <c r="A8" s="35"/>
      <c r="B8" s="1" t="s">
        <v>2</v>
      </c>
      <c r="C8" s="24" t="s">
        <v>82</v>
      </c>
      <c r="D8" s="24" t="s">
        <v>4</v>
      </c>
      <c r="E8" s="24" t="s">
        <v>5</v>
      </c>
      <c r="F8" s="24" t="s">
        <v>6</v>
      </c>
      <c r="G8" s="24" t="s">
        <v>83</v>
      </c>
      <c r="H8" s="24" t="s">
        <v>7</v>
      </c>
      <c r="I8" s="24" t="s">
        <v>8</v>
      </c>
      <c r="J8" s="24" t="s">
        <v>84</v>
      </c>
      <c r="K8" s="24" t="s">
        <v>85</v>
      </c>
      <c r="L8" s="24" t="s">
        <v>86</v>
      </c>
      <c r="M8" s="24" t="s">
        <v>11</v>
      </c>
      <c r="N8" s="24" t="s">
        <v>17</v>
      </c>
      <c r="O8" s="24" t="s">
        <v>12</v>
      </c>
      <c r="P8" s="24" t="s">
        <v>13</v>
      </c>
      <c r="Q8" s="24" t="s">
        <v>14</v>
      </c>
      <c r="R8" s="24" t="s">
        <v>87</v>
      </c>
      <c r="S8" s="24" t="s">
        <v>88</v>
      </c>
      <c r="T8" s="39" t="s">
        <v>82</v>
      </c>
      <c r="U8" s="39" t="s">
        <v>86</v>
      </c>
      <c r="V8" s="39" t="s">
        <v>60</v>
      </c>
    </row>
    <row r="9" spans="1:22" ht="16.5" customHeight="1" x14ac:dyDescent="0.2">
      <c r="A9" s="35"/>
      <c r="B9" s="40" t="s">
        <v>89</v>
      </c>
      <c r="C9" s="41" t="s">
        <v>90</v>
      </c>
      <c r="D9" s="42" t="s">
        <v>91</v>
      </c>
      <c r="E9" s="42" t="s">
        <v>91</v>
      </c>
      <c r="F9" s="25"/>
      <c r="G9" s="43" t="s">
        <v>92</v>
      </c>
      <c r="H9" s="43" t="s">
        <v>23</v>
      </c>
      <c r="I9" s="43" t="s">
        <v>93</v>
      </c>
      <c r="J9" s="26">
        <v>0</v>
      </c>
      <c r="K9" s="43" t="s">
        <v>94</v>
      </c>
      <c r="L9" s="26">
        <f t="shared" ref="L9:L40" si="0">IF(K9="USD",J9*$Q$7,J9)</f>
        <v>0</v>
      </c>
      <c r="M9" s="25"/>
      <c r="N9" s="26" t="str">
        <f t="shared" ref="N9:N40" si="1">IFERROR(L9/M9,"")</f>
        <v/>
      </c>
      <c r="O9" s="25"/>
      <c r="P9" s="25"/>
      <c r="Q9" s="25"/>
      <c r="R9" s="44" t="s">
        <v>95</v>
      </c>
      <c r="S9" s="45" t="s">
        <v>96</v>
      </c>
      <c r="T9" s="46" t="s">
        <v>90</v>
      </c>
      <c r="U9" s="47">
        <f t="shared" ref="U9:U15" si="2">SUMIF($C$9:$C$156,$T9,$L$9:$L$156)</f>
        <v>0</v>
      </c>
      <c r="V9" s="47">
        <f t="shared" ref="V9:V15" si="3">COUNTIF($C$9:$C$156,$T9)</f>
        <v>4</v>
      </c>
    </row>
    <row r="10" spans="1:22" ht="16.5" customHeight="1" x14ac:dyDescent="0.2">
      <c r="A10" s="35"/>
      <c r="B10" s="48" t="s">
        <v>97</v>
      </c>
      <c r="C10" s="49" t="s">
        <v>90</v>
      </c>
      <c r="D10" s="50" t="s">
        <v>91</v>
      </c>
      <c r="E10" s="50" t="s">
        <v>91</v>
      </c>
      <c r="F10" s="28"/>
      <c r="G10" s="51" t="s">
        <v>92</v>
      </c>
      <c r="H10" s="51" t="s">
        <v>23</v>
      </c>
      <c r="I10" s="51" t="s">
        <v>93</v>
      </c>
      <c r="J10" s="29">
        <v>0</v>
      </c>
      <c r="K10" s="51" t="s">
        <v>94</v>
      </c>
      <c r="L10" s="29">
        <f t="shared" si="0"/>
        <v>0</v>
      </c>
      <c r="M10" s="28"/>
      <c r="N10" s="29" t="str">
        <f t="shared" si="1"/>
        <v/>
      </c>
      <c r="O10" s="28"/>
      <c r="P10" s="28"/>
      <c r="Q10" s="28"/>
      <c r="R10" s="52" t="s">
        <v>95</v>
      </c>
      <c r="S10" s="53" t="s">
        <v>96</v>
      </c>
      <c r="T10" s="54" t="s">
        <v>98</v>
      </c>
      <c r="U10" s="55">
        <f t="shared" si="2"/>
        <v>0</v>
      </c>
      <c r="V10" s="55">
        <f t="shared" si="3"/>
        <v>6</v>
      </c>
    </row>
    <row r="11" spans="1:22" ht="16.5" customHeight="1" x14ac:dyDescent="0.2">
      <c r="A11" s="35"/>
      <c r="B11" s="40" t="s">
        <v>99</v>
      </c>
      <c r="C11" s="41" t="s">
        <v>90</v>
      </c>
      <c r="D11" s="42" t="s">
        <v>91</v>
      </c>
      <c r="E11" s="42" t="s">
        <v>91</v>
      </c>
      <c r="F11" s="25"/>
      <c r="G11" s="43" t="s">
        <v>92</v>
      </c>
      <c r="H11" s="43" t="s">
        <v>23</v>
      </c>
      <c r="I11" s="43" t="s">
        <v>93</v>
      </c>
      <c r="J11" s="26">
        <v>0</v>
      </c>
      <c r="K11" s="43" t="s">
        <v>94</v>
      </c>
      <c r="L11" s="26">
        <f t="shared" si="0"/>
        <v>0</v>
      </c>
      <c r="M11" s="25"/>
      <c r="N11" s="26" t="str">
        <f t="shared" si="1"/>
        <v/>
      </c>
      <c r="O11" s="25"/>
      <c r="P11" s="25"/>
      <c r="Q11" s="25"/>
      <c r="R11" s="44" t="s">
        <v>95</v>
      </c>
      <c r="S11" s="45" t="s">
        <v>96</v>
      </c>
      <c r="T11" s="46" t="s">
        <v>100</v>
      </c>
      <c r="U11" s="47">
        <f t="shared" si="2"/>
        <v>0</v>
      </c>
      <c r="V11" s="47">
        <f t="shared" si="3"/>
        <v>2</v>
      </c>
    </row>
    <row r="12" spans="1:22" ht="16.5" customHeight="1" x14ac:dyDescent="0.2">
      <c r="A12" s="35"/>
      <c r="B12" s="48" t="s">
        <v>101</v>
      </c>
      <c r="C12" s="49" t="s">
        <v>90</v>
      </c>
      <c r="D12" s="50" t="s">
        <v>91</v>
      </c>
      <c r="E12" s="50" t="s">
        <v>91</v>
      </c>
      <c r="F12" s="28"/>
      <c r="G12" s="51" t="s">
        <v>92</v>
      </c>
      <c r="H12" s="51" t="s">
        <v>23</v>
      </c>
      <c r="I12" s="51" t="s">
        <v>93</v>
      </c>
      <c r="J12" s="29">
        <v>0</v>
      </c>
      <c r="K12" s="51" t="s">
        <v>94</v>
      </c>
      <c r="L12" s="29">
        <f t="shared" si="0"/>
        <v>0</v>
      </c>
      <c r="M12" s="28"/>
      <c r="N12" s="29" t="str">
        <f t="shared" si="1"/>
        <v/>
      </c>
      <c r="O12" s="28"/>
      <c r="P12" s="28"/>
      <c r="Q12" s="28"/>
      <c r="R12" s="52" t="s">
        <v>95</v>
      </c>
      <c r="S12" s="53" t="s">
        <v>96</v>
      </c>
      <c r="T12" s="56" t="s">
        <v>102</v>
      </c>
      <c r="U12" s="57">
        <f t="shared" si="2"/>
        <v>94094.419999999984</v>
      </c>
      <c r="V12" s="57">
        <f t="shared" si="3"/>
        <v>18</v>
      </c>
    </row>
    <row r="13" spans="1:22" ht="16.5" customHeight="1" x14ac:dyDescent="0.2">
      <c r="A13" s="35"/>
      <c r="B13" s="40" t="s">
        <v>103</v>
      </c>
      <c r="C13" s="41" t="s">
        <v>98</v>
      </c>
      <c r="D13" s="42" t="s">
        <v>91</v>
      </c>
      <c r="E13" s="42" t="s">
        <v>91</v>
      </c>
      <c r="F13" s="25"/>
      <c r="G13" s="43" t="s">
        <v>92</v>
      </c>
      <c r="H13" s="43" t="s">
        <v>104</v>
      </c>
      <c r="I13" s="43" t="s">
        <v>93</v>
      </c>
      <c r="J13" s="26">
        <v>0</v>
      </c>
      <c r="K13" s="43" t="s">
        <v>94</v>
      </c>
      <c r="L13" s="26">
        <f t="shared" si="0"/>
        <v>0</v>
      </c>
      <c r="M13" s="25"/>
      <c r="N13" s="26" t="str">
        <f t="shared" si="1"/>
        <v/>
      </c>
      <c r="O13" s="25"/>
      <c r="P13" s="25"/>
      <c r="Q13" s="25"/>
      <c r="R13" s="44" t="s">
        <v>95</v>
      </c>
      <c r="S13" s="45" t="s">
        <v>96</v>
      </c>
      <c r="T13" s="58" t="s">
        <v>105</v>
      </c>
      <c r="U13" s="59">
        <f t="shared" si="2"/>
        <v>191208.71250000008</v>
      </c>
      <c r="V13" s="59">
        <f t="shared" si="3"/>
        <v>57</v>
      </c>
    </row>
    <row r="14" spans="1:22" ht="16.5" customHeight="1" x14ac:dyDescent="0.2">
      <c r="A14" s="35"/>
      <c r="B14" s="48" t="s">
        <v>106</v>
      </c>
      <c r="C14" s="49" t="s">
        <v>98</v>
      </c>
      <c r="D14" s="50" t="s">
        <v>91</v>
      </c>
      <c r="E14" s="50" t="s">
        <v>91</v>
      </c>
      <c r="F14" s="28"/>
      <c r="G14" s="51" t="s">
        <v>92</v>
      </c>
      <c r="H14" s="51" t="s">
        <v>23</v>
      </c>
      <c r="I14" s="51" t="s">
        <v>93</v>
      </c>
      <c r="J14" s="29">
        <v>0</v>
      </c>
      <c r="K14" s="51" t="s">
        <v>94</v>
      </c>
      <c r="L14" s="29">
        <f t="shared" si="0"/>
        <v>0</v>
      </c>
      <c r="M14" s="28"/>
      <c r="N14" s="29" t="str">
        <f t="shared" si="1"/>
        <v/>
      </c>
      <c r="O14" s="28"/>
      <c r="P14" s="28"/>
      <c r="Q14" s="28"/>
      <c r="R14" s="52" t="s">
        <v>95</v>
      </c>
      <c r="S14" s="53" t="s">
        <v>96</v>
      </c>
      <c r="T14" s="56" t="s">
        <v>107</v>
      </c>
      <c r="U14" s="57">
        <f t="shared" si="2"/>
        <v>128943.05999999995</v>
      </c>
      <c r="V14" s="57">
        <f t="shared" si="3"/>
        <v>34</v>
      </c>
    </row>
    <row r="15" spans="1:22" ht="16.5" customHeight="1" x14ac:dyDescent="0.2">
      <c r="A15" s="35"/>
      <c r="B15" s="40" t="s">
        <v>108</v>
      </c>
      <c r="C15" s="41" t="s">
        <v>98</v>
      </c>
      <c r="D15" s="42" t="s">
        <v>91</v>
      </c>
      <c r="E15" s="42" t="s">
        <v>91</v>
      </c>
      <c r="F15" s="25"/>
      <c r="G15" s="43" t="s">
        <v>92</v>
      </c>
      <c r="H15" s="43" t="s">
        <v>23</v>
      </c>
      <c r="I15" s="43" t="s">
        <v>93</v>
      </c>
      <c r="J15" s="26">
        <v>0</v>
      </c>
      <c r="K15" s="43" t="s">
        <v>94</v>
      </c>
      <c r="L15" s="26">
        <f t="shared" si="0"/>
        <v>0</v>
      </c>
      <c r="M15" s="25"/>
      <c r="N15" s="26" t="str">
        <f t="shared" si="1"/>
        <v/>
      </c>
      <c r="O15" s="25"/>
      <c r="P15" s="25"/>
      <c r="Q15" s="25"/>
      <c r="R15" s="44" t="s">
        <v>95</v>
      </c>
      <c r="S15" s="45" t="s">
        <v>96</v>
      </c>
      <c r="T15" s="58" t="s">
        <v>109</v>
      </c>
      <c r="U15" s="59">
        <f t="shared" si="2"/>
        <v>0</v>
      </c>
      <c r="V15" s="59">
        <f t="shared" si="3"/>
        <v>27</v>
      </c>
    </row>
    <row r="16" spans="1:22" ht="16.5" customHeight="1" x14ac:dyDescent="0.2">
      <c r="A16" s="35"/>
      <c r="B16" s="48" t="s">
        <v>110</v>
      </c>
      <c r="C16" s="49" t="s">
        <v>98</v>
      </c>
      <c r="D16" s="50" t="s">
        <v>91</v>
      </c>
      <c r="E16" s="50" t="s">
        <v>91</v>
      </c>
      <c r="F16" s="28"/>
      <c r="G16" s="51" t="s">
        <v>92</v>
      </c>
      <c r="H16" s="51" t="s">
        <v>23</v>
      </c>
      <c r="I16" s="51" t="s">
        <v>93</v>
      </c>
      <c r="J16" s="29">
        <v>0</v>
      </c>
      <c r="K16" s="51" t="s">
        <v>94</v>
      </c>
      <c r="L16" s="29">
        <f t="shared" si="0"/>
        <v>0</v>
      </c>
      <c r="M16" s="28"/>
      <c r="N16" s="29" t="str">
        <f t="shared" si="1"/>
        <v/>
      </c>
      <c r="O16" s="28"/>
      <c r="P16" s="28"/>
      <c r="Q16" s="28"/>
      <c r="R16" s="52" t="s">
        <v>95</v>
      </c>
      <c r="S16" s="53" t="s">
        <v>96</v>
      </c>
    </row>
    <row r="17" spans="1:19" ht="16.5" customHeight="1" x14ac:dyDescent="0.2">
      <c r="A17" s="35"/>
      <c r="B17" s="40" t="s">
        <v>111</v>
      </c>
      <c r="C17" s="41" t="s">
        <v>98</v>
      </c>
      <c r="D17" s="42" t="s">
        <v>91</v>
      </c>
      <c r="E17" s="42" t="s">
        <v>91</v>
      </c>
      <c r="F17" s="25"/>
      <c r="G17" s="43" t="s">
        <v>92</v>
      </c>
      <c r="H17" s="43" t="s">
        <v>23</v>
      </c>
      <c r="I17" s="43" t="s">
        <v>93</v>
      </c>
      <c r="J17" s="26">
        <v>0</v>
      </c>
      <c r="K17" s="43" t="s">
        <v>94</v>
      </c>
      <c r="L17" s="26">
        <f t="shared" si="0"/>
        <v>0</v>
      </c>
      <c r="M17" s="25"/>
      <c r="N17" s="26" t="str">
        <f t="shared" si="1"/>
        <v/>
      </c>
      <c r="O17" s="25"/>
      <c r="P17" s="25"/>
      <c r="Q17" s="25"/>
      <c r="R17" s="44" t="s">
        <v>95</v>
      </c>
      <c r="S17" s="45" t="s">
        <v>96</v>
      </c>
    </row>
    <row r="18" spans="1:19" ht="16.5" customHeight="1" x14ac:dyDescent="0.2">
      <c r="A18" s="35"/>
      <c r="B18" s="48" t="s">
        <v>112</v>
      </c>
      <c r="C18" s="49" t="s">
        <v>98</v>
      </c>
      <c r="D18" s="50" t="s">
        <v>91</v>
      </c>
      <c r="E18" s="50" t="s">
        <v>91</v>
      </c>
      <c r="F18" s="28"/>
      <c r="G18" s="51" t="s">
        <v>92</v>
      </c>
      <c r="H18" s="51" t="s">
        <v>23</v>
      </c>
      <c r="I18" s="51" t="s">
        <v>93</v>
      </c>
      <c r="J18" s="29">
        <v>0</v>
      </c>
      <c r="K18" s="51" t="s">
        <v>94</v>
      </c>
      <c r="L18" s="29">
        <f t="shared" si="0"/>
        <v>0</v>
      </c>
      <c r="M18" s="28"/>
      <c r="N18" s="29" t="str">
        <f t="shared" si="1"/>
        <v/>
      </c>
      <c r="O18" s="28"/>
      <c r="P18" s="28"/>
      <c r="Q18" s="28"/>
      <c r="R18" s="52" t="s">
        <v>95</v>
      </c>
      <c r="S18" s="53" t="s">
        <v>96</v>
      </c>
    </row>
    <row r="19" spans="1:19" ht="16.5" customHeight="1" x14ac:dyDescent="0.2">
      <c r="A19" s="35"/>
      <c r="B19" s="40" t="s">
        <v>113</v>
      </c>
      <c r="C19" s="41" t="s">
        <v>100</v>
      </c>
      <c r="D19" s="42" t="s">
        <v>91</v>
      </c>
      <c r="E19" s="42" t="s">
        <v>91</v>
      </c>
      <c r="F19" s="25"/>
      <c r="G19" s="43" t="s">
        <v>92</v>
      </c>
      <c r="H19" s="43" t="s">
        <v>23</v>
      </c>
      <c r="I19" s="43" t="s">
        <v>93</v>
      </c>
      <c r="J19" s="26">
        <v>0</v>
      </c>
      <c r="K19" s="43" t="s">
        <v>94</v>
      </c>
      <c r="L19" s="26">
        <f t="shared" si="0"/>
        <v>0</v>
      </c>
      <c r="M19" s="25"/>
      <c r="N19" s="26" t="str">
        <f t="shared" si="1"/>
        <v/>
      </c>
      <c r="O19" s="25"/>
      <c r="P19" s="25"/>
      <c r="Q19" s="25"/>
      <c r="R19" s="44" t="s">
        <v>95</v>
      </c>
      <c r="S19" s="45" t="s">
        <v>96</v>
      </c>
    </row>
    <row r="20" spans="1:19" ht="16.5" customHeight="1" x14ac:dyDescent="0.2">
      <c r="A20" s="35"/>
      <c r="B20" s="48" t="s">
        <v>114</v>
      </c>
      <c r="C20" s="49" t="s">
        <v>100</v>
      </c>
      <c r="D20" s="50" t="s">
        <v>91</v>
      </c>
      <c r="E20" s="50" t="s">
        <v>91</v>
      </c>
      <c r="F20" s="28"/>
      <c r="G20" s="51" t="s">
        <v>92</v>
      </c>
      <c r="H20" s="51" t="s">
        <v>23</v>
      </c>
      <c r="I20" s="51" t="s">
        <v>13</v>
      </c>
      <c r="J20" s="29">
        <v>0</v>
      </c>
      <c r="K20" s="51" t="s">
        <v>94</v>
      </c>
      <c r="L20" s="29">
        <f t="shared" si="0"/>
        <v>0</v>
      </c>
      <c r="M20" s="28"/>
      <c r="N20" s="29" t="str">
        <f t="shared" si="1"/>
        <v/>
      </c>
      <c r="O20" s="28"/>
      <c r="P20" s="28"/>
      <c r="Q20" s="28"/>
      <c r="R20" s="52" t="s">
        <v>95</v>
      </c>
      <c r="S20" s="53" t="s">
        <v>96</v>
      </c>
    </row>
    <row r="21" spans="1:19" ht="16.5" customHeight="1" x14ac:dyDescent="0.2">
      <c r="A21" s="35"/>
      <c r="B21" s="40" t="s">
        <v>115</v>
      </c>
      <c r="C21" s="43" t="s">
        <v>102</v>
      </c>
      <c r="D21" s="43" t="s">
        <v>116</v>
      </c>
      <c r="E21" s="43" t="s">
        <v>117</v>
      </c>
      <c r="F21" s="25">
        <v>4</v>
      </c>
      <c r="G21" s="43" t="s">
        <v>92</v>
      </c>
      <c r="H21" s="43" t="s">
        <v>23</v>
      </c>
      <c r="I21" s="43" t="s">
        <v>67</v>
      </c>
      <c r="J21" s="26">
        <v>42615.519999999997</v>
      </c>
      <c r="K21" s="43" t="s">
        <v>94</v>
      </c>
      <c r="L21" s="26">
        <f t="shared" si="0"/>
        <v>42615.519999999997</v>
      </c>
      <c r="M21" s="25">
        <v>162411</v>
      </c>
      <c r="N21" s="26">
        <f t="shared" si="1"/>
        <v>0.26239306450917732</v>
      </c>
      <c r="O21" s="25">
        <v>20231220</v>
      </c>
      <c r="P21" s="25">
        <v>5320895</v>
      </c>
      <c r="Q21" s="25"/>
      <c r="R21" s="40" t="s">
        <v>118</v>
      </c>
      <c r="S21" s="60">
        <v>45114</v>
      </c>
    </row>
    <row r="22" spans="1:19" ht="16.5" customHeight="1" x14ac:dyDescent="0.2">
      <c r="A22" s="35"/>
      <c r="B22" s="48" t="s">
        <v>119</v>
      </c>
      <c r="C22" s="51" t="s">
        <v>102</v>
      </c>
      <c r="D22" s="51" t="s">
        <v>120</v>
      </c>
      <c r="E22" s="51" t="s">
        <v>121</v>
      </c>
      <c r="F22" s="28">
        <v>4</v>
      </c>
      <c r="G22" s="51" t="s">
        <v>92</v>
      </c>
      <c r="H22" s="51" t="s">
        <v>23</v>
      </c>
      <c r="I22" s="51" t="s">
        <v>67</v>
      </c>
      <c r="J22" s="29">
        <v>20000</v>
      </c>
      <c r="K22" s="51" t="s">
        <v>94</v>
      </c>
      <c r="L22" s="29">
        <f t="shared" si="0"/>
        <v>20000</v>
      </c>
      <c r="M22" s="28">
        <v>132874</v>
      </c>
      <c r="N22" s="29">
        <f t="shared" si="1"/>
        <v>0.15051853635775245</v>
      </c>
      <c r="O22" s="28">
        <v>10731816</v>
      </c>
      <c r="P22" s="28">
        <v>2932405</v>
      </c>
      <c r="Q22" s="28"/>
      <c r="R22" s="48" t="s">
        <v>118</v>
      </c>
      <c r="S22" s="61">
        <v>45158</v>
      </c>
    </row>
    <row r="23" spans="1:19" ht="16.5" customHeight="1" x14ac:dyDescent="0.2">
      <c r="A23" s="35"/>
      <c r="B23" s="40" t="s">
        <v>122</v>
      </c>
      <c r="C23" s="43" t="s">
        <v>102</v>
      </c>
      <c r="D23" s="43" t="s">
        <v>121</v>
      </c>
      <c r="E23" s="43" t="s">
        <v>123</v>
      </c>
      <c r="F23" s="25">
        <v>2</v>
      </c>
      <c r="G23" s="43" t="s">
        <v>92</v>
      </c>
      <c r="H23" s="43" t="s">
        <v>23</v>
      </c>
      <c r="I23" s="43" t="s">
        <v>67</v>
      </c>
      <c r="J23" s="26">
        <v>9054.98</v>
      </c>
      <c r="K23" s="43" t="s">
        <v>94</v>
      </c>
      <c r="L23" s="26">
        <f t="shared" si="0"/>
        <v>9054.98</v>
      </c>
      <c r="M23" s="25">
        <v>37115</v>
      </c>
      <c r="N23" s="26">
        <f t="shared" si="1"/>
        <v>0.24397090125286272</v>
      </c>
      <c r="O23" s="25">
        <v>4609157</v>
      </c>
      <c r="P23" s="25">
        <v>1354502</v>
      </c>
      <c r="Q23" s="25"/>
      <c r="R23" s="40" t="s">
        <v>118</v>
      </c>
      <c r="S23" s="60">
        <v>45246</v>
      </c>
    </row>
    <row r="24" spans="1:19" ht="16.5" customHeight="1" x14ac:dyDescent="0.2">
      <c r="A24" s="35"/>
      <c r="B24" s="48" t="s">
        <v>124</v>
      </c>
      <c r="C24" s="51" t="s">
        <v>102</v>
      </c>
      <c r="D24" s="51" t="s">
        <v>121</v>
      </c>
      <c r="E24" s="51" t="s">
        <v>123</v>
      </c>
      <c r="F24" s="28">
        <v>2</v>
      </c>
      <c r="G24" s="51" t="s">
        <v>92</v>
      </c>
      <c r="H24" s="51" t="s">
        <v>23</v>
      </c>
      <c r="I24" s="51" t="s">
        <v>67</v>
      </c>
      <c r="J24" s="29">
        <v>6419.79</v>
      </c>
      <c r="K24" s="51" t="s">
        <v>94</v>
      </c>
      <c r="L24" s="29">
        <f t="shared" si="0"/>
        <v>6419.79</v>
      </c>
      <c r="M24" s="28">
        <v>37197</v>
      </c>
      <c r="N24" s="29">
        <f t="shared" si="1"/>
        <v>0.17258891846116622</v>
      </c>
      <c r="O24" s="28">
        <v>3066398</v>
      </c>
      <c r="P24" s="28">
        <v>804440</v>
      </c>
      <c r="Q24" s="28"/>
      <c r="R24" s="48" t="s">
        <v>118</v>
      </c>
      <c r="S24" s="61">
        <v>45252</v>
      </c>
    </row>
    <row r="25" spans="1:19" ht="16.5" customHeight="1" x14ac:dyDescent="0.2">
      <c r="A25" s="35"/>
      <c r="B25" s="40" t="s">
        <v>125</v>
      </c>
      <c r="C25" s="43" t="s">
        <v>102</v>
      </c>
      <c r="D25" s="43" t="s">
        <v>126</v>
      </c>
      <c r="E25" s="43" t="s">
        <v>117</v>
      </c>
      <c r="F25" s="25">
        <v>2</v>
      </c>
      <c r="G25" s="43" t="s">
        <v>92</v>
      </c>
      <c r="H25" s="43" t="s">
        <v>23</v>
      </c>
      <c r="I25" s="43" t="s">
        <v>66</v>
      </c>
      <c r="J25" s="26">
        <v>5625</v>
      </c>
      <c r="K25" s="43" t="s">
        <v>94</v>
      </c>
      <c r="L25" s="26">
        <f t="shared" si="0"/>
        <v>5625</v>
      </c>
      <c r="M25" s="25">
        <v>58817</v>
      </c>
      <c r="N25" s="26">
        <f t="shared" si="1"/>
        <v>9.563561555332642E-2</v>
      </c>
      <c r="O25" s="25">
        <v>1694913</v>
      </c>
      <c r="P25" s="25">
        <v>953620</v>
      </c>
      <c r="Q25" s="25"/>
      <c r="R25" s="40" t="s">
        <v>118</v>
      </c>
      <c r="S25" s="60">
        <v>45194</v>
      </c>
    </row>
    <row r="26" spans="1:19" ht="16.5" customHeight="1" x14ac:dyDescent="0.2">
      <c r="A26" s="35"/>
      <c r="B26" s="48" t="s">
        <v>127</v>
      </c>
      <c r="C26" s="51" t="s">
        <v>102</v>
      </c>
      <c r="D26" s="51" t="s">
        <v>126</v>
      </c>
      <c r="E26" s="51" t="s">
        <v>117</v>
      </c>
      <c r="F26" s="28">
        <v>2</v>
      </c>
      <c r="G26" s="51" t="s">
        <v>92</v>
      </c>
      <c r="H26" s="51" t="s">
        <v>23</v>
      </c>
      <c r="I26" s="51" t="s">
        <v>67</v>
      </c>
      <c r="J26" s="29">
        <v>2630.62</v>
      </c>
      <c r="K26" s="51" t="s">
        <v>94</v>
      </c>
      <c r="L26" s="29">
        <f t="shared" si="0"/>
        <v>2630.62</v>
      </c>
      <c r="M26" s="28">
        <v>2599</v>
      </c>
      <c r="N26" s="29">
        <f t="shared" si="1"/>
        <v>1.0121662177760677</v>
      </c>
      <c r="O26" s="28">
        <v>888041</v>
      </c>
      <c r="P26" s="28">
        <v>174599</v>
      </c>
      <c r="Q26" s="28"/>
      <c r="R26" s="48" t="s">
        <v>118</v>
      </c>
      <c r="S26" s="61">
        <v>45194</v>
      </c>
    </row>
    <row r="27" spans="1:19" ht="16.5" customHeight="1" x14ac:dyDescent="0.2">
      <c r="A27" s="35"/>
      <c r="B27" s="40" t="s">
        <v>128</v>
      </c>
      <c r="C27" s="43" t="s">
        <v>102</v>
      </c>
      <c r="D27" s="43" t="s">
        <v>121</v>
      </c>
      <c r="E27" s="43" t="s">
        <v>123</v>
      </c>
      <c r="F27" s="25">
        <v>2</v>
      </c>
      <c r="G27" s="43" t="s">
        <v>92</v>
      </c>
      <c r="H27" s="43" t="s">
        <v>23</v>
      </c>
      <c r="I27" s="43" t="s">
        <v>67</v>
      </c>
      <c r="J27" s="26">
        <v>2199.17</v>
      </c>
      <c r="K27" s="43" t="s">
        <v>94</v>
      </c>
      <c r="L27" s="26">
        <f t="shared" si="0"/>
        <v>2199.17</v>
      </c>
      <c r="M27" s="25">
        <v>11832</v>
      </c>
      <c r="N27" s="26">
        <f t="shared" si="1"/>
        <v>0.18586629479377959</v>
      </c>
      <c r="O27" s="25">
        <v>1374077</v>
      </c>
      <c r="P27" s="25">
        <v>412394</v>
      </c>
      <c r="Q27" s="25"/>
      <c r="R27" s="40" t="s">
        <v>118</v>
      </c>
      <c r="S27" s="60">
        <v>45252</v>
      </c>
    </row>
    <row r="28" spans="1:19" ht="16.5" customHeight="1" x14ac:dyDescent="0.2">
      <c r="A28" s="35"/>
      <c r="B28" s="48" t="s">
        <v>129</v>
      </c>
      <c r="C28" s="51" t="s">
        <v>102</v>
      </c>
      <c r="D28" s="51" t="s">
        <v>116</v>
      </c>
      <c r="E28" s="51" t="s">
        <v>120</v>
      </c>
      <c r="F28" s="28">
        <v>2</v>
      </c>
      <c r="G28" s="51" t="s">
        <v>92</v>
      </c>
      <c r="H28" s="51" t="s">
        <v>23</v>
      </c>
      <c r="I28" s="51" t="s">
        <v>67</v>
      </c>
      <c r="J28" s="29">
        <v>1931.12</v>
      </c>
      <c r="K28" s="51" t="s">
        <v>94</v>
      </c>
      <c r="L28" s="29">
        <f t="shared" si="0"/>
        <v>1931.12</v>
      </c>
      <c r="M28" s="28">
        <v>907</v>
      </c>
      <c r="N28" s="29">
        <f t="shared" si="1"/>
        <v>2.1291289966923923</v>
      </c>
      <c r="O28" s="28">
        <v>123605</v>
      </c>
      <c r="P28" s="28">
        <v>64110</v>
      </c>
      <c r="Q28" s="28"/>
      <c r="R28" s="48" t="s">
        <v>118</v>
      </c>
      <c r="S28" s="61">
        <v>45040</v>
      </c>
    </row>
    <row r="29" spans="1:19" ht="16.5" customHeight="1" x14ac:dyDescent="0.2">
      <c r="A29" s="35"/>
      <c r="B29" s="40" t="s">
        <v>130</v>
      </c>
      <c r="C29" s="43" t="s">
        <v>102</v>
      </c>
      <c r="D29" s="43" t="s">
        <v>126</v>
      </c>
      <c r="E29" s="43" t="s">
        <v>117</v>
      </c>
      <c r="F29" s="25">
        <v>2</v>
      </c>
      <c r="G29" s="43" t="s">
        <v>92</v>
      </c>
      <c r="H29" s="43" t="s">
        <v>23</v>
      </c>
      <c r="I29" s="43" t="s">
        <v>13</v>
      </c>
      <c r="J29" s="26">
        <v>1500</v>
      </c>
      <c r="K29" s="43" t="s">
        <v>94</v>
      </c>
      <c r="L29" s="26">
        <f t="shared" si="0"/>
        <v>1500</v>
      </c>
      <c r="M29" s="25">
        <v>555683</v>
      </c>
      <c r="N29" s="26">
        <f t="shared" si="1"/>
        <v>2.6993807620531848E-3</v>
      </c>
      <c r="O29" s="25">
        <v>776137</v>
      </c>
      <c r="P29" s="25">
        <v>555683</v>
      </c>
      <c r="Q29" s="25"/>
      <c r="R29" s="40" t="s">
        <v>118</v>
      </c>
      <c r="S29" s="60">
        <v>45194</v>
      </c>
    </row>
    <row r="30" spans="1:19" ht="16.5" customHeight="1" x14ac:dyDescent="0.2">
      <c r="A30" s="35"/>
      <c r="B30" s="48" t="s">
        <v>131</v>
      </c>
      <c r="C30" s="51" t="s">
        <v>102</v>
      </c>
      <c r="D30" s="51" t="s">
        <v>123</v>
      </c>
      <c r="E30" s="51" t="s">
        <v>123</v>
      </c>
      <c r="F30" s="28">
        <v>1</v>
      </c>
      <c r="G30" s="51" t="s">
        <v>92</v>
      </c>
      <c r="H30" s="51" t="s">
        <v>23</v>
      </c>
      <c r="I30" s="51" t="s">
        <v>67</v>
      </c>
      <c r="J30" s="29">
        <v>1234.07</v>
      </c>
      <c r="K30" s="51" t="s">
        <v>94</v>
      </c>
      <c r="L30" s="29">
        <f t="shared" si="0"/>
        <v>1234.07</v>
      </c>
      <c r="M30" s="28">
        <v>1284</v>
      </c>
      <c r="N30" s="29">
        <f t="shared" si="1"/>
        <v>0.96111370716510902</v>
      </c>
      <c r="O30" s="28">
        <v>225410</v>
      </c>
      <c r="P30" s="28">
        <v>109148</v>
      </c>
      <c r="Q30" s="28"/>
      <c r="R30" s="48" t="s">
        <v>118</v>
      </c>
      <c r="S30" s="61">
        <v>45263</v>
      </c>
    </row>
    <row r="31" spans="1:19" ht="16.5" customHeight="1" x14ac:dyDescent="0.2">
      <c r="A31" s="35"/>
      <c r="B31" s="40" t="s">
        <v>132</v>
      </c>
      <c r="C31" s="43" t="s">
        <v>102</v>
      </c>
      <c r="D31" s="43" t="s">
        <v>121</v>
      </c>
      <c r="E31" s="43" t="s">
        <v>121</v>
      </c>
      <c r="F31" s="25">
        <v>1</v>
      </c>
      <c r="G31" s="43" t="s">
        <v>92</v>
      </c>
      <c r="H31" s="43" t="s">
        <v>23</v>
      </c>
      <c r="I31" s="43" t="s">
        <v>67</v>
      </c>
      <c r="J31" s="26">
        <v>590.89</v>
      </c>
      <c r="K31" s="43" t="s">
        <v>94</v>
      </c>
      <c r="L31" s="26">
        <f t="shared" si="0"/>
        <v>590.89</v>
      </c>
      <c r="M31" s="25">
        <v>692</v>
      </c>
      <c r="N31" s="26">
        <f t="shared" si="1"/>
        <v>0.85388728323699425</v>
      </c>
      <c r="O31" s="25">
        <v>73168</v>
      </c>
      <c r="P31" s="25">
        <v>47071</v>
      </c>
      <c r="Q31" s="25"/>
      <c r="R31" s="40" t="s">
        <v>118</v>
      </c>
      <c r="S31" s="60">
        <v>45245</v>
      </c>
    </row>
    <row r="32" spans="1:19" ht="16.5" customHeight="1" x14ac:dyDescent="0.2">
      <c r="A32" s="35"/>
      <c r="B32" s="48" t="s">
        <v>133</v>
      </c>
      <c r="C32" s="51" t="s">
        <v>102</v>
      </c>
      <c r="D32" s="51" t="s">
        <v>116</v>
      </c>
      <c r="E32" s="51" t="s">
        <v>116</v>
      </c>
      <c r="F32" s="28">
        <v>1</v>
      </c>
      <c r="G32" s="51" t="s">
        <v>92</v>
      </c>
      <c r="H32" s="51" t="s">
        <v>23</v>
      </c>
      <c r="I32" s="51" t="s">
        <v>67</v>
      </c>
      <c r="J32" s="29">
        <v>293.26</v>
      </c>
      <c r="K32" s="51" t="s">
        <v>94</v>
      </c>
      <c r="L32" s="29">
        <f t="shared" si="0"/>
        <v>293.26</v>
      </c>
      <c r="M32" s="28">
        <v>418</v>
      </c>
      <c r="N32" s="29">
        <f t="shared" si="1"/>
        <v>0.70157894736842108</v>
      </c>
      <c r="O32" s="28">
        <v>76694</v>
      </c>
      <c r="P32" s="28">
        <v>50306</v>
      </c>
      <c r="Q32" s="28"/>
      <c r="R32" s="48" t="s">
        <v>118</v>
      </c>
      <c r="S32" s="61">
        <v>45058</v>
      </c>
    </row>
    <row r="33" spans="1:19" ht="16.5" customHeight="1" x14ac:dyDescent="0.2">
      <c r="A33" s="35"/>
      <c r="B33" s="40" t="s">
        <v>134</v>
      </c>
      <c r="C33" s="41" t="s">
        <v>102</v>
      </c>
      <c r="D33" s="42" t="s">
        <v>91</v>
      </c>
      <c r="E33" s="42" t="s">
        <v>91</v>
      </c>
      <c r="F33" s="25"/>
      <c r="G33" s="43" t="s">
        <v>92</v>
      </c>
      <c r="H33" s="43" t="s">
        <v>23</v>
      </c>
      <c r="I33" s="43" t="s">
        <v>93</v>
      </c>
      <c r="J33" s="26">
        <v>0</v>
      </c>
      <c r="K33" s="43" t="s">
        <v>94</v>
      </c>
      <c r="L33" s="26">
        <f t="shared" si="0"/>
        <v>0</v>
      </c>
      <c r="M33" s="25"/>
      <c r="N33" s="26" t="str">
        <f t="shared" si="1"/>
        <v/>
      </c>
      <c r="O33" s="25"/>
      <c r="P33" s="25"/>
      <c r="Q33" s="25"/>
      <c r="R33" s="44" t="s">
        <v>95</v>
      </c>
      <c r="S33" s="45" t="s">
        <v>96</v>
      </c>
    </row>
    <row r="34" spans="1:19" ht="16.5" customHeight="1" x14ac:dyDescent="0.2">
      <c r="A34" s="35"/>
      <c r="B34" s="48" t="s">
        <v>135</v>
      </c>
      <c r="C34" s="49" t="s">
        <v>102</v>
      </c>
      <c r="D34" s="50" t="s">
        <v>91</v>
      </c>
      <c r="E34" s="50" t="s">
        <v>91</v>
      </c>
      <c r="F34" s="28"/>
      <c r="G34" s="51" t="s">
        <v>92</v>
      </c>
      <c r="H34" s="51" t="s">
        <v>23</v>
      </c>
      <c r="I34" s="51" t="s">
        <v>93</v>
      </c>
      <c r="J34" s="29">
        <v>0</v>
      </c>
      <c r="K34" s="51" t="s">
        <v>94</v>
      </c>
      <c r="L34" s="29">
        <f t="shared" si="0"/>
        <v>0</v>
      </c>
      <c r="M34" s="28"/>
      <c r="N34" s="29" t="str">
        <f t="shared" si="1"/>
        <v/>
      </c>
      <c r="O34" s="28"/>
      <c r="P34" s="28"/>
      <c r="Q34" s="28"/>
      <c r="R34" s="52" t="s">
        <v>95</v>
      </c>
      <c r="S34" s="53" t="s">
        <v>96</v>
      </c>
    </row>
    <row r="35" spans="1:19" ht="16.5" customHeight="1" x14ac:dyDescent="0.2">
      <c r="A35" s="35"/>
      <c r="B35" s="40" t="s">
        <v>136</v>
      </c>
      <c r="C35" s="41" t="s">
        <v>102</v>
      </c>
      <c r="D35" s="42" t="s">
        <v>91</v>
      </c>
      <c r="E35" s="42" t="s">
        <v>91</v>
      </c>
      <c r="F35" s="25"/>
      <c r="G35" s="43" t="s">
        <v>92</v>
      </c>
      <c r="H35" s="43" t="s">
        <v>23</v>
      </c>
      <c r="I35" s="43" t="s">
        <v>93</v>
      </c>
      <c r="J35" s="26">
        <v>0</v>
      </c>
      <c r="K35" s="43" t="s">
        <v>94</v>
      </c>
      <c r="L35" s="26">
        <f t="shared" si="0"/>
        <v>0</v>
      </c>
      <c r="M35" s="25"/>
      <c r="N35" s="26" t="str">
        <f t="shared" si="1"/>
        <v/>
      </c>
      <c r="O35" s="25"/>
      <c r="P35" s="25"/>
      <c r="Q35" s="25"/>
      <c r="R35" s="44" t="s">
        <v>95</v>
      </c>
      <c r="S35" s="45" t="s">
        <v>96</v>
      </c>
    </row>
    <row r="36" spans="1:19" ht="16.5" customHeight="1" x14ac:dyDescent="0.2">
      <c r="A36" s="35"/>
      <c r="B36" s="48" t="s">
        <v>137</v>
      </c>
      <c r="C36" s="49" t="s">
        <v>102</v>
      </c>
      <c r="D36" s="50" t="s">
        <v>91</v>
      </c>
      <c r="E36" s="50" t="s">
        <v>91</v>
      </c>
      <c r="F36" s="28"/>
      <c r="G36" s="51" t="s">
        <v>92</v>
      </c>
      <c r="H36" s="51" t="s">
        <v>23</v>
      </c>
      <c r="I36" s="51" t="s">
        <v>93</v>
      </c>
      <c r="J36" s="29">
        <v>0</v>
      </c>
      <c r="K36" s="51" t="s">
        <v>94</v>
      </c>
      <c r="L36" s="29">
        <f t="shared" si="0"/>
        <v>0</v>
      </c>
      <c r="M36" s="28"/>
      <c r="N36" s="29" t="str">
        <f t="shared" si="1"/>
        <v/>
      </c>
      <c r="O36" s="28"/>
      <c r="P36" s="28"/>
      <c r="Q36" s="28"/>
      <c r="R36" s="52" t="s">
        <v>95</v>
      </c>
      <c r="S36" s="53" t="s">
        <v>96</v>
      </c>
    </row>
    <row r="37" spans="1:19" ht="16.5" customHeight="1" x14ac:dyDescent="0.2">
      <c r="A37" s="35"/>
      <c r="B37" s="40" t="s">
        <v>138</v>
      </c>
      <c r="C37" s="41" t="s">
        <v>102</v>
      </c>
      <c r="D37" s="42" t="s">
        <v>91</v>
      </c>
      <c r="E37" s="42" t="s">
        <v>91</v>
      </c>
      <c r="F37" s="25"/>
      <c r="G37" s="43" t="s">
        <v>92</v>
      </c>
      <c r="H37" s="43" t="s">
        <v>23</v>
      </c>
      <c r="I37" s="43" t="s">
        <v>93</v>
      </c>
      <c r="J37" s="26">
        <v>0</v>
      </c>
      <c r="K37" s="43" t="s">
        <v>94</v>
      </c>
      <c r="L37" s="26">
        <f t="shared" si="0"/>
        <v>0</v>
      </c>
      <c r="M37" s="25"/>
      <c r="N37" s="26" t="str">
        <f t="shared" si="1"/>
        <v/>
      </c>
      <c r="O37" s="25"/>
      <c r="P37" s="25"/>
      <c r="Q37" s="25"/>
      <c r="R37" s="44" t="s">
        <v>95</v>
      </c>
      <c r="S37" s="45" t="s">
        <v>96</v>
      </c>
    </row>
    <row r="38" spans="1:19" ht="16.5" customHeight="1" x14ac:dyDescent="0.2">
      <c r="A38" s="35"/>
      <c r="B38" s="48" t="s">
        <v>139</v>
      </c>
      <c r="C38" s="49" t="s">
        <v>102</v>
      </c>
      <c r="D38" s="50" t="s">
        <v>91</v>
      </c>
      <c r="E38" s="50" t="s">
        <v>91</v>
      </c>
      <c r="F38" s="28"/>
      <c r="G38" s="51" t="s">
        <v>92</v>
      </c>
      <c r="H38" s="51" t="s">
        <v>104</v>
      </c>
      <c r="I38" s="51" t="s">
        <v>93</v>
      </c>
      <c r="J38" s="29">
        <v>0</v>
      </c>
      <c r="K38" s="51" t="s">
        <v>94</v>
      </c>
      <c r="L38" s="29">
        <f t="shared" si="0"/>
        <v>0</v>
      </c>
      <c r="M38" s="28"/>
      <c r="N38" s="29" t="str">
        <f t="shared" si="1"/>
        <v/>
      </c>
      <c r="O38" s="28"/>
      <c r="P38" s="28"/>
      <c r="Q38" s="28"/>
      <c r="R38" s="52" t="s">
        <v>95</v>
      </c>
      <c r="S38" s="53" t="s">
        <v>96</v>
      </c>
    </row>
    <row r="39" spans="1:19" ht="16.5" customHeight="1" x14ac:dyDescent="0.2">
      <c r="A39" s="35"/>
      <c r="B39" s="40" t="s">
        <v>140</v>
      </c>
      <c r="C39" s="43" t="s">
        <v>105</v>
      </c>
      <c r="D39" s="43" t="s">
        <v>141</v>
      </c>
      <c r="E39" s="43" t="s">
        <v>142</v>
      </c>
      <c r="F39" s="25">
        <v>3</v>
      </c>
      <c r="G39" s="43" t="s">
        <v>92</v>
      </c>
      <c r="H39" s="43" t="s">
        <v>23</v>
      </c>
      <c r="I39" s="43" t="s">
        <v>24</v>
      </c>
      <c r="J39" s="26">
        <v>10785.96</v>
      </c>
      <c r="K39" s="43" t="s">
        <v>94</v>
      </c>
      <c r="L39" s="26">
        <f t="shared" si="0"/>
        <v>10785.96</v>
      </c>
      <c r="M39" s="25">
        <v>836</v>
      </c>
      <c r="N39" s="26">
        <f t="shared" si="1"/>
        <v>12.901866028708133</v>
      </c>
      <c r="O39" s="25">
        <v>316806</v>
      </c>
      <c r="P39" s="25">
        <v>141359</v>
      </c>
      <c r="Q39" s="25"/>
      <c r="R39" s="40" t="s">
        <v>118</v>
      </c>
      <c r="S39" s="60">
        <v>45442</v>
      </c>
    </row>
    <row r="40" spans="1:19" ht="16.5" customHeight="1" x14ac:dyDescent="0.2">
      <c r="A40" s="35"/>
      <c r="B40" s="48" t="s">
        <v>143</v>
      </c>
      <c r="C40" s="51" t="s">
        <v>105</v>
      </c>
      <c r="D40" s="51" t="s">
        <v>144</v>
      </c>
      <c r="E40" s="51" t="s">
        <v>145</v>
      </c>
      <c r="F40" s="28">
        <v>3</v>
      </c>
      <c r="G40" s="51" t="s">
        <v>92</v>
      </c>
      <c r="H40" s="51" t="s">
        <v>23</v>
      </c>
      <c r="I40" s="51" t="s">
        <v>24</v>
      </c>
      <c r="J40" s="29">
        <v>8049.83</v>
      </c>
      <c r="K40" s="51" t="s">
        <v>94</v>
      </c>
      <c r="L40" s="29">
        <f t="shared" si="0"/>
        <v>8049.83</v>
      </c>
      <c r="M40" s="28">
        <v>463</v>
      </c>
      <c r="N40" s="29">
        <f t="shared" si="1"/>
        <v>17.386241900647949</v>
      </c>
      <c r="O40" s="28">
        <v>145774</v>
      </c>
      <c r="P40" s="28">
        <v>80505</v>
      </c>
      <c r="Q40" s="28"/>
      <c r="R40" s="48" t="s">
        <v>118</v>
      </c>
      <c r="S40" s="61">
        <v>45589</v>
      </c>
    </row>
    <row r="41" spans="1:19" ht="16.5" customHeight="1" x14ac:dyDescent="0.2">
      <c r="A41" s="35"/>
      <c r="B41" s="40" t="s">
        <v>146</v>
      </c>
      <c r="C41" s="43" t="s">
        <v>105</v>
      </c>
      <c r="D41" s="43" t="s">
        <v>144</v>
      </c>
      <c r="E41" s="43" t="s">
        <v>147</v>
      </c>
      <c r="F41" s="25">
        <v>2</v>
      </c>
      <c r="G41" s="43" t="s">
        <v>92</v>
      </c>
      <c r="H41" s="43" t="s">
        <v>23</v>
      </c>
      <c r="I41" s="43" t="s">
        <v>24</v>
      </c>
      <c r="J41" s="26">
        <v>7178.6</v>
      </c>
      <c r="K41" s="43" t="s">
        <v>94</v>
      </c>
      <c r="L41" s="26">
        <f t="shared" ref="L41:L72" si="4">IF(K41="USD",J41*$Q$7,J41)</f>
        <v>7178.6</v>
      </c>
      <c r="M41" s="25">
        <v>296</v>
      </c>
      <c r="N41" s="26">
        <f t="shared" ref="N41:N72" si="5">IFERROR(L41/M41,"")</f>
        <v>24.25202702702703</v>
      </c>
      <c r="O41" s="25">
        <v>158608</v>
      </c>
      <c r="P41" s="25">
        <v>88287</v>
      </c>
      <c r="Q41" s="25"/>
      <c r="R41" s="40" t="s">
        <v>118</v>
      </c>
      <c r="S41" s="60">
        <v>45584</v>
      </c>
    </row>
    <row r="42" spans="1:19" ht="16.5" customHeight="1" x14ac:dyDescent="0.2">
      <c r="A42" s="35"/>
      <c r="B42" s="48" t="s">
        <v>148</v>
      </c>
      <c r="C42" s="51" t="s">
        <v>105</v>
      </c>
      <c r="D42" s="51" t="s">
        <v>142</v>
      </c>
      <c r="E42" s="51" t="s">
        <v>149</v>
      </c>
      <c r="F42" s="28">
        <v>3</v>
      </c>
      <c r="G42" s="51" t="s">
        <v>92</v>
      </c>
      <c r="H42" s="51" t="s">
        <v>23</v>
      </c>
      <c r="I42" s="51" t="s">
        <v>24</v>
      </c>
      <c r="J42" s="29">
        <v>6792.49</v>
      </c>
      <c r="K42" s="51" t="s">
        <v>94</v>
      </c>
      <c r="L42" s="29">
        <f t="shared" si="4"/>
        <v>6792.49</v>
      </c>
      <c r="M42" s="28">
        <v>259</v>
      </c>
      <c r="N42" s="29">
        <f t="shared" si="5"/>
        <v>26.225830115830114</v>
      </c>
      <c r="O42" s="28">
        <v>118823</v>
      </c>
      <c r="P42" s="28">
        <v>54057</v>
      </c>
      <c r="Q42" s="28"/>
      <c r="R42" s="48" t="s">
        <v>118</v>
      </c>
      <c r="S42" s="61">
        <v>45490</v>
      </c>
    </row>
    <row r="43" spans="1:19" ht="16.5" customHeight="1" x14ac:dyDescent="0.2">
      <c r="A43" s="35"/>
      <c r="B43" s="40" t="s">
        <v>124</v>
      </c>
      <c r="C43" s="43" t="s">
        <v>105</v>
      </c>
      <c r="D43" s="43" t="s">
        <v>150</v>
      </c>
      <c r="E43" s="43" t="s">
        <v>151</v>
      </c>
      <c r="F43" s="25">
        <v>2</v>
      </c>
      <c r="G43" s="43" t="s">
        <v>92</v>
      </c>
      <c r="H43" s="43" t="s">
        <v>23</v>
      </c>
      <c r="I43" s="43" t="s">
        <v>67</v>
      </c>
      <c r="J43" s="26">
        <v>6696.47</v>
      </c>
      <c r="K43" s="43" t="s">
        <v>94</v>
      </c>
      <c r="L43" s="26">
        <f t="shared" si="4"/>
        <v>6696.47</v>
      </c>
      <c r="M43" s="25">
        <v>77357</v>
      </c>
      <c r="N43" s="26">
        <f t="shared" si="5"/>
        <v>8.6565792365267527E-2</v>
      </c>
      <c r="O43" s="25">
        <v>4535858</v>
      </c>
      <c r="P43" s="25">
        <v>1315386</v>
      </c>
      <c r="Q43" s="25"/>
      <c r="R43" s="40" t="s">
        <v>118</v>
      </c>
      <c r="S43" s="60">
        <v>45252</v>
      </c>
    </row>
    <row r="44" spans="1:19" ht="16.5" customHeight="1" x14ac:dyDescent="0.2">
      <c r="A44" s="35"/>
      <c r="B44" s="48" t="s">
        <v>152</v>
      </c>
      <c r="C44" s="51" t="s">
        <v>105</v>
      </c>
      <c r="D44" s="51" t="s">
        <v>153</v>
      </c>
      <c r="E44" s="51" t="s">
        <v>142</v>
      </c>
      <c r="F44" s="28">
        <v>2</v>
      </c>
      <c r="G44" s="51" t="s">
        <v>92</v>
      </c>
      <c r="H44" s="51" t="s">
        <v>23</v>
      </c>
      <c r="I44" s="51" t="s">
        <v>24</v>
      </c>
      <c r="J44" s="29">
        <v>6535.46</v>
      </c>
      <c r="K44" s="51" t="s">
        <v>94</v>
      </c>
      <c r="L44" s="29">
        <f t="shared" si="4"/>
        <v>6535.46</v>
      </c>
      <c r="M44" s="28">
        <v>476</v>
      </c>
      <c r="N44" s="29">
        <f t="shared" si="5"/>
        <v>13.729957983193277</v>
      </c>
      <c r="O44" s="28">
        <v>137326</v>
      </c>
      <c r="P44" s="28">
        <v>71823</v>
      </c>
      <c r="Q44" s="28"/>
      <c r="R44" s="48" t="s">
        <v>118</v>
      </c>
      <c r="S44" s="61">
        <v>45447</v>
      </c>
    </row>
    <row r="45" spans="1:19" ht="16.5" customHeight="1" x14ac:dyDescent="0.2">
      <c r="A45" s="35"/>
      <c r="B45" s="40" t="s">
        <v>154</v>
      </c>
      <c r="C45" s="43" t="s">
        <v>105</v>
      </c>
      <c r="D45" s="43" t="s">
        <v>142</v>
      </c>
      <c r="E45" s="43" t="s">
        <v>155</v>
      </c>
      <c r="F45" s="25">
        <v>2</v>
      </c>
      <c r="G45" s="43" t="s">
        <v>92</v>
      </c>
      <c r="H45" s="43" t="s">
        <v>23</v>
      </c>
      <c r="I45" s="43" t="s">
        <v>24</v>
      </c>
      <c r="J45" s="26">
        <v>6211.49</v>
      </c>
      <c r="K45" s="43" t="s">
        <v>94</v>
      </c>
      <c r="L45" s="26">
        <f t="shared" si="4"/>
        <v>6211.49</v>
      </c>
      <c r="M45" s="25">
        <v>491</v>
      </c>
      <c r="N45" s="26">
        <f t="shared" si="5"/>
        <v>12.650692464358452</v>
      </c>
      <c r="O45" s="25">
        <v>118639</v>
      </c>
      <c r="P45" s="25">
        <v>59384</v>
      </c>
      <c r="Q45" s="25"/>
      <c r="R45" s="40" t="s">
        <v>118</v>
      </c>
      <c r="S45" s="60">
        <v>45488</v>
      </c>
    </row>
    <row r="46" spans="1:19" ht="16.5" customHeight="1" x14ac:dyDescent="0.2">
      <c r="A46" s="35"/>
      <c r="B46" s="48" t="s">
        <v>156</v>
      </c>
      <c r="C46" s="51" t="s">
        <v>105</v>
      </c>
      <c r="D46" s="51" t="s">
        <v>155</v>
      </c>
      <c r="E46" s="51" t="s">
        <v>149</v>
      </c>
      <c r="F46" s="28">
        <v>2</v>
      </c>
      <c r="G46" s="51" t="s">
        <v>92</v>
      </c>
      <c r="H46" s="51" t="s">
        <v>23</v>
      </c>
      <c r="I46" s="51" t="s">
        <v>24</v>
      </c>
      <c r="J46" s="29">
        <v>6049.3</v>
      </c>
      <c r="K46" s="51" t="s">
        <v>94</v>
      </c>
      <c r="L46" s="29">
        <f t="shared" si="4"/>
        <v>6049.3</v>
      </c>
      <c r="M46" s="28">
        <v>455</v>
      </c>
      <c r="N46" s="29">
        <f t="shared" si="5"/>
        <v>13.295164835164835</v>
      </c>
      <c r="O46" s="28">
        <v>182413</v>
      </c>
      <c r="P46" s="28">
        <v>70334</v>
      </c>
      <c r="Q46" s="28"/>
      <c r="R46" s="48" t="s">
        <v>118</v>
      </c>
      <c r="S46" s="61">
        <v>45517</v>
      </c>
    </row>
    <row r="47" spans="1:19" ht="16.5" customHeight="1" x14ac:dyDescent="0.2">
      <c r="A47" s="35"/>
      <c r="B47" s="40" t="s">
        <v>157</v>
      </c>
      <c r="C47" s="43" t="s">
        <v>105</v>
      </c>
      <c r="D47" s="43" t="s">
        <v>149</v>
      </c>
      <c r="E47" s="43" t="s">
        <v>147</v>
      </c>
      <c r="F47" s="25">
        <v>3</v>
      </c>
      <c r="G47" s="43" t="s">
        <v>92</v>
      </c>
      <c r="H47" s="43" t="s">
        <v>23</v>
      </c>
      <c r="I47" s="43" t="s">
        <v>65</v>
      </c>
      <c r="J47" s="26">
        <v>6005.41</v>
      </c>
      <c r="K47" s="43" t="s">
        <v>94</v>
      </c>
      <c r="L47" s="26">
        <f t="shared" si="4"/>
        <v>6005.41</v>
      </c>
      <c r="M47" s="25">
        <v>384</v>
      </c>
      <c r="N47" s="26">
        <f t="shared" si="5"/>
        <v>15.639088541666666</v>
      </c>
      <c r="O47" s="25">
        <v>213589</v>
      </c>
      <c r="P47" s="25">
        <v>101681</v>
      </c>
      <c r="Q47" s="25"/>
      <c r="R47" s="40" t="s">
        <v>118</v>
      </c>
      <c r="S47" s="60">
        <v>45563</v>
      </c>
    </row>
    <row r="48" spans="1:19" ht="16.5" customHeight="1" x14ac:dyDescent="0.2">
      <c r="A48" s="35"/>
      <c r="B48" s="48" t="s">
        <v>158</v>
      </c>
      <c r="C48" s="51" t="s">
        <v>105</v>
      </c>
      <c r="D48" s="51" t="s">
        <v>141</v>
      </c>
      <c r="E48" s="51" t="s">
        <v>144</v>
      </c>
      <c r="F48" s="28">
        <v>6</v>
      </c>
      <c r="G48" s="51" t="s">
        <v>92</v>
      </c>
      <c r="H48" s="51" t="s">
        <v>23</v>
      </c>
      <c r="I48" s="51" t="s">
        <v>24</v>
      </c>
      <c r="J48" s="29">
        <v>5838.31</v>
      </c>
      <c r="K48" s="51" t="s">
        <v>94</v>
      </c>
      <c r="L48" s="29">
        <f t="shared" si="4"/>
        <v>5838.31</v>
      </c>
      <c r="M48" s="28">
        <v>345</v>
      </c>
      <c r="N48" s="29">
        <f t="shared" si="5"/>
        <v>16.922637681159422</v>
      </c>
      <c r="O48" s="28">
        <v>199555</v>
      </c>
      <c r="P48" s="28">
        <v>87615</v>
      </c>
      <c r="Q48" s="28"/>
      <c r="R48" s="48" t="s">
        <v>118</v>
      </c>
      <c r="S48" s="61">
        <v>45414</v>
      </c>
    </row>
    <row r="49" spans="1:19" ht="16.5" customHeight="1" x14ac:dyDescent="0.2">
      <c r="A49" s="35"/>
      <c r="B49" s="40" t="s">
        <v>159</v>
      </c>
      <c r="C49" s="43" t="s">
        <v>105</v>
      </c>
      <c r="D49" s="43" t="s">
        <v>147</v>
      </c>
      <c r="E49" s="43" t="s">
        <v>145</v>
      </c>
      <c r="F49" s="25">
        <v>2</v>
      </c>
      <c r="G49" s="43" t="s">
        <v>92</v>
      </c>
      <c r="H49" s="43" t="s">
        <v>23</v>
      </c>
      <c r="I49" s="43" t="s">
        <v>24</v>
      </c>
      <c r="J49" s="26">
        <v>5641.26</v>
      </c>
      <c r="K49" s="43" t="s">
        <v>94</v>
      </c>
      <c r="L49" s="26">
        <f t="shared" si="4"/>
        <v>5641.26</v>
      </c>
      <c r="M49" s="25">
        <v>339</v>
      </c>
      <c r="N49" s="26">
        <f t="shared" si="5"/>
        <v>16.640884955752213</v>
      </c>
      <c r="O49" s="25">
        <v>172525</v>
      </c>
      <c r="P49" s="25">
        <v>76818</v>
      </c>
      <c r="Q49" s="25"/>
      <c r="R49" s="40" t="s">
        <v>118</v>
      </c>
      <c r="S49" s="60">
        <v>45599</v>
      </c>
    </row>
    <row r="50" spans="1:19" ht="16.5" customHeight="1" x14ac:dyDescent="0.2">
      <c r="A50" s="35"/>
      <c r="B50" s="48" t="s">
        <v>160</v>
      </c>
      <c r="C50" s="51" t="s">
        <v>105</v>
      </c>
      <c r="D50" s="51" t="s">
        <v>153</v>
      </c>
      <c r="E50" s="51" t="s">
        <v>142</v>
      </c>
      <c r="F50" s="28">
        <v>2</v>
      </c>
      <c r="G50" s="51" t="s">
        <v>92</v>
      </c>
      <c r="H50" s="51" t="s">
        <v>23</v>
      </c>
      <c r="I50" s="51" t="s">
        <v>24</v>
      </c>
      <c r="J50" s="29">
        <v>5531.34</v>
      </c>
      <c r="K50" s="51" t="s">
        <v>94</v>
      </c>
      <c r="L50" s="29">
        <f t="shared" si="4"/>
        <v>5531.34</v>
      </c>
      <c r="M50" s="28">
        <v>511</v>
      </c>
      <c r="N50" s="29">
        <f t="shared" si="5"/>
        <v>10.824540117416831</v>
      </c>
      <c r="O50" s="28">
        <v>175989</v>
      </c>
      <c r="P50" s="28">
        <v>75784</v>
      </c>
      <c r="Q50" s="28"/>
      <c r="R50" s="48" t="s">
        <v>118</v>
      </c>
      <c r="S50" s="61">
        <v>45454</v>
      </c>
    </row>
    <row r="51" spans="1:19" ht="16.5" customHeight="1" x14ac:dyDescent="0.2">
      <c r="A51" s="35"/>
      <c r="B51" s="40" t="s">
        <v>161</v>
      </c>
      <c r="C51" s="43" t="s">
        <v>105</v>
      </c>
      <c r="D51" s="43" t="s">
        <v>144</v>
      </c>
      <c r="E51" s="43" t="s">
        <v>147</v>
      </c>
      <c r="F51" s="25">
        <v>2</v>
      </c>
      <c r="G51" s="43" t="s">
        <v>92</v>
      </c>
      <c r="H51" s="43" t="s">
        <v>23</v>
      </c>
      <c r="I51" s="43" t="s">
        <v>24</v>
      </c>
      <c r="J51" s="26">
        <v>5385.66</v>
      </c>
      <c r="K51" s="43" t="s">
        <v>94</v>
      </c>
      <c r="L51" s="26">
        <f t="shared" si="4"/>
        <v>5385.66</v>
      </c>
      <c r="M51" s="25">
        <v>380</v>
      </c>
      <c r="N51" s="26">
        <f t="shared" si="5"/>
        <v>14.17278947368421</v>
      </c>
      <c r="O51" s="25">
        <v>240139</v>
      </c>
      <c r="P51" s="25">
        <v>109506</v>
      </c>
      <c r="Q51" s="25"/>
      <c r="R51" s="40" t="s">
        <v>118</v>
      </c>
      <c r="S51" s="60">
        <v>45575</v>
      </c>
    </row>
    <row r="52" spans="1:19" ht="16.5" customHeight="1" x14ac:dyDescent="0.2">
      <c r="A52" s="35"/>
      <c r="B52" s="48" t="s">
        <v>162</v>
      </c>
      <c r="C52" s="51" t="s">
        <v>105</v>
      </c>
      <c r="D52" s="51" t="s">
        <v>163</v>
      </c>
      <c r="E52" s="51" t="s">
        <v>141</v>
      </c>
      <c r="F52" s="28">
        <v>2</v>
      </c>
      <c r="G52" s="51" t="s">
        <v>92</v>
      </c>
      <c r="H52" s="51" t="s">
        <v>23</v>
      </c>
      <c r="I52" s="51" t="s">
        <v>24</v>
      </c>
      <c r="J52" s="29">
        <v>5208.34</v>
      </c>
      <c r="K52" s="51" t="s">
        <v>94</v>
      </c>
      <c r="L52" s="29">
        <f t="shared" si="4"/>
        <v>5208.34</v>
      </c>
      <c r="M52" s="28">
        <v>458</v>
      </c>
      <c r="N52" s="29">
        <f t="shared" si="5"/>
        <v>11.371921397379912</v>
      </c>
      <c r="O52" s="28">
        <v>139781</v>
      </c>
      <c r="P52" s="28">
        <v>67256</v>
      </c>
      <c r="Q52" s="28"/>
      <c r="R52" s="48" t="s">
        <v>118</v>
      </c>
      <c r="S52" s="61">
        <v>45406</v>
      </c>
    </row>
    <row r="53" spans="1:19" ht="16.5" customHeight="1" x14ac:dyDescent="0.2">
      <c r="A53" s="35"/>
      <c r="B53" s="40" t="s">
        <v>164</v>
      </c>
      <c r="C53" s="43" t="s">
        <v>105</v>
      </c>
      <c r="D53" s="43" t="s">
        <v>144</v>
      </c>
      <c r="E53" s="43" t="s">
        <v>147</v>
      </c>
      <c r="F53" s="25">
        <v>2</v>
      </c>
      <c r="G53" s="43" t="s">
        <v>92</v>
      </c>
      <c r="H53" s="43" t="s">
        <v>23</v>
      </c>
      <c r="I53" s="43" t="s">
        <v>24</v>
      </c>
      <c r="J53" s="26">
        <v>5148.9399999999996</v>
      </c>
      <c r="K53" s="43" t="s">
        <v>94</v>
      </c>
      <c r="L53" s="26">
        <f t="shared" si="4"/>
        <v>5148.9399999999996</v>
      </c>
      <c r="M53" s="25">
        <v>230</v>
      </c>
      <c r="N53" s="26">
        <f t="shared" si="5"/>
        <v>22.386695652173913</v>
      </c>
      <c r="O53" s="25">
        <v>109893</v>
      </c>
      <c r="P53" s="25">
        <v>68581</v>
      </c>
      <c r="Q53" s="25"/>
      <c r="R53" s="40" t="s">
        <v>118</v>
      </c>
      <c r="S53" s="60">
        <v>45584</v>
      </c>
    </row>
    <row r="54" spans="1:19" ht="16.5" customHeight="1" x14ac:dyDescent="0.2">
      <c r="A54" s="35"/>
      <c r="B54" s="48" t="s">
        <v>165</v>
      </c>
      <c r="C54" s="51" t="s">
        <v>105</v>
      </c>
      <c r="D54" s="51" t="s">
        <v>147</v>
      </c>
      <c r="E54" s="51" t="s">
        <v>145</v>
      </c>
      <c r="F54" s="28">
        <v>2</v>
      </c>
      <c r="G54" s="51" t="s">
        <v>92</v>
      </c>
      <c r="H54" s="51" t="s">
        <v>23</v>
      </c>
      <c r="I54" s="51" t="s">
        <v>24</v>
      </c>
      <c r="J54" s="29">
        <v>4914.28</v>
      </c>
      <c r="K54" s="51" t="s">
        <v>94</v>
      </c>
      <c r="L54" s="29">
        <f t="shared" si="4"/>
        <v>4914.28</v>
      </c>
      <c r="M54" s="28">
        <v>710</v>
      </c>
      <c r="N54" s="29">
        <f t="shared" si="5"/>
        <v>6.9215211267605632</v>
      </c>
      <c r="O54" s="28">
        <v>359776</v>
      </c>
      <c r="P54" s="28">
        <v>152214</v>
      </c>
      <c r="Q54" s="28"/>
      <c r="R54" s="48" t="s">
        <v>118</v>
      </c>
      <c r="S54" s="61">
        <v>45603</v>
      </c>
    </row>
    <row r="55" spans="1:19" ht="16.5" customHeight="1" x14ac:dyDescent="0.2">
      <c r="A55" s="35"/>
      <c r="B55" s="40" t="s">
        <v>166</v>
      </c>
      <c r="C55" s="43" t="s">
        <v>105</v>
      </c>
      <c r="D55" s="43" t="s">
        <v>167</v>
      </c>
      <c r="E55" s="43" t="s">
        <v>163</v>
      </c>
      <c r="F55" s="25">
        <v>2</v>
      </c>
      <c r="G55" s="43" t="s">
        <v>92</v>
      </c>
      <c r="H55" s="43" t="s">
        <v>23</v>
      </c>
      <c r="I55" s="43" t="s">
        <v>66</v>
      </c>
      <c r="J55" s="26">
        <v>4795.29</v>
      </c>
      <c r="K55" s="43" t="s">
        <v>94</v>
      </c>
      <c r="L55" s="26">
        <f t="shared" si="4"/>
        <v>4795.29</v>
      </c>
      <c r="M55" s="25">
        <v>41508</v>
      </c>
      <c r="N55" s="26">
        <f t="shared" si="5"/>
        <v>0.11552688638334779</v>
      </c>
      <c r="O55" s="25">
        <v>1413191</v>
      </c>
      <c r="P55" s="25">
        <v>592879</v>
      </c>
      <c r="Q55" s="25"/>
      <c r="R55" s="40" t="s">
        <v>118</v>
      </c>
      <c r="S55" s="60">
        <v>45355</v>
      </c>
    </row>
    <row r="56" spans="1:19" ht="16.5" customHeight="1" x14ac:dyDescent="0.2">
      <c r="A56" s="35"/>
      <c r="B56" s="48" t="s">
        <v>168</v>
      </c>
      <c r="C56" s="51" t="s">
        <v>105</v>
      </c>
      <c r="D56" s="51" t="s">
        <v>142</v>
      </c>
      <c r="E56" s="51" t="s">
        <v>155</v>
      </c>
      <c r="F56" s="28">
        <v>2</v>
      </c>
      <c r="G56" s="51" t="s">
        <v>92</v>
      </c>
      <c r="H56" s="51" t="s">
        <v>23</v>
      </c>
      <c r="I56" s="51" t="s">
        <v>24</v>
      </c>
      <c r="J56" s="29">
        <v>4781.33</v>
      </c>
      <c r="K56" s="51" t="s">
        <v>94</v>
      </c>
      <c r="L56" s="29">
        <f t="shared" si="4"/>
        <v>4781.33</v>
      </c>
      <c r="M56" s="28">
        <v>297</v>
      </c>
      <c r="N56" s="29">
        <f t="shared" si="5"/>
        <v>16.098754208754208</v>
      </c>
      <c r="O56" s="28">
        <v>211070</v>
      </c>
      <c r="P56" s="28">
        <v>91785</v>
      </c>
      <c r="Q56" s="28"/>
      <c r="R56" s="48" t="s">
        <v>118</v>
      </c>
      <c r="S56" s="61">
        <v>45503</v>
      </c>
    </row>
    <row r="57" spans="1:19" ht="16.5" customHeight="1" x14ac:dyDescent="0.2">
      <c r="A57" s="35"/>
      <c r="B57" s="40" t="s">
        <v>169</v>
      </c>
      <c r="C57" s="43" t="s">
        <v>105</v>
      </c>
      <c r="D57" s="43" t="s">
        <v>163</v>
      </c>
      <c r="E57" s="43" t="s">
        <v>153</v>
      </c>
      <c r="F57" s="25">
        <v>3</v>
      </c>
      <c r="G57" s="43" t="s">
        <v>92</v>
      </c>
      <c r="H57" s="43" t="s">
        <v>23</v>
      </c>
      <c r="I57" s="43" t="s">
        <v>24</v>
      </c>
      <c r="J57" s="26">
        <v>4600.21</v>
      </c>
      <c r="K57" s="43" t="s">
        <v>94</v>
      </c>
      <c r="L57" s="26">
        <f t="shared" si="4"/>
        <v>4600.21</v>
      </c>
      <c r="M57" s="25">
        <v>195</v>
      </c>
      <c r="N57" s="26">
        <f t="shared" si="5"/>
        <v>23.590820512820514</v>
      </c>
      <c r="O57" s="25">
        <v>145710</v>
      </c>
      <c r="P57" s="25">
        <v>75156</v>
      </c>
      <c r="Q57" s="25"/>
      <c r="R57" s="40" t="s">
        <v>118</v>
      </c>
      <c r="S57" s="60">
        <v>45411</v>
      </c>
    </row>
    <row r="58" spans="1:19" ht="16.5" customHeight="1" x14ac:dyDescent="0.2">
      <c r="A58" s="35"/>
      <c r="B58" s="48" t="s">
        <v>170</v>
      </c>
      <c r="C58" s="51" t="s">
        <v>105</v>
      </c>
      <c r="D58" s="51" t="s">
        <v>142</v>
      </c>
      <c r="E58" s="51" t="s">
        <v>155</v>
      </c>
      <c r="F58" s="28">
        <v>2</v>
      </c>
      <c r="G58" s="51" t="s">
        <v>92</v>
      </c>
      <c r="H58" s="51" t="s">
        <v>23</v>
      </c>
      <c r="I58" s="51" t="s">
        <v>24</v>
      </c>
      <c r="J58" s="29">
        <v>4264.2700000000004</v>
      </c>
      <c r="K58" s="51" t="s">
        <v>94</v>
      </c>
      <c r="L58" s="29">
        <f t="shared" si="4"/>
        <v>4264.2700000000004</v>
      </c>
      <c r="M58" s="28">
        <v>581</v>
      </c>
      <c r="N58" s="29">
        <f t="shared" si="5"/>
        <v>7.3395352839931158</v>
      </c>
      <c r="O58" s="28">
        <v>187089</v>
      </c>
      <c r="P58" s="28">
        <v>91658</v>
      </c>
      <c r="Q58" s="28"/>
      <c r="R58" s="48" t="s">
        <v>118</v>
      </c>
      <c r="S58" s="61">
        <v>45504</v>
      </c>
    </row>
    <row r="59" spans="1:19" ht="16.5" customHeight="1" x14ac:dyDescent="0.2">
      <c r="A59" s="35"/>
      <c r="B59" s="40" t="s">
        <v>171</v>
      </c>
      <c r="C59" s="43" t="s">
        <v>105</v>
      </c>
      <c r="D59" s="43" t="s">
        <v>153</v>
      </c>
      <c r="E59" s="43" t="s">
        <v>142</v>
      </c>
      <c r="F59" s="25">
        <v>2</v>
      </c>
      <c r="G59" s="43" t="s">
        <v>92</v>
      </c>
      <c r="H59" s="43" t="s">
        <v>23</v>
      </c>
      <c r="I59" s="43" t="s">
        <v>24</v>
      </c>
      <c r="J59" s="26">
        <v>4065.4</v>
      </c>
      <c r="K59" s="43" t="s">
        <v>94</v>
      </c>
      <c r="L59" s="26">
        <f t="shared" si="4"/>
        <v>4065.4</v>
      </c>
      <c r="M59" s="25">
        <v>1039</v>
      </c>
      <c r="N59" s="26">
        <f t="shared" si="5"/>
        <v>3.9128007699711262</v>
      </c>
      <c r="O59" s="25">
        <v>276221</v>
      </c>
      <c r="P59" s="25">
        <v>122706</v>
      </c>
      <c r="Q59" s="25"/>
      <c r="R59" s="40" t="s">
        <v>118</v>
      </c>
      <c r="S59" s="60">
        <v>45451</v>
      </c>
    </row>
    <row r="60" spans="1:19" ht="16.5" customHeight="1" x14ac:dyDescent="0.2">
      <c r="A60" s="35"/>
      <c r="B60" s="48" t="s">
        <v>172</v>
      </c>
      <c r="C60" s="51" t="s">
        <v>105</v>
      </c>
      <c r="D60" s="51" t="s">
        <v>153</v>
      </c>
      <c r="E60" s="51" t="s">
        <v>142</v>
      </c>
      <c r="F60" s="28">
        <v>2</v>
      </c>
      <c r="G60" s="51" t="s">
        <v>92</v>
      </c>
      <c r="H60" s="51" t="s">
        <v>23</v>
      </c>
      <c r="I60" s="51" t="s">
        <v>24</v>
      </c>
      <c r="J60" s="29">
        <v>3726.05</v>
      </c>
      <c r="K60" s="51" t="s">
        <v>94</v>
      </c>
      <c r="L60" s="29">
        <f t="shared" si="4"/>
        <v>3726.05</v>
      </c>
      <c r="M60" s="28">
        <v>187</v>
      </c>
      <c r="N60" s="29">
        <f t="shared" si="5"/>
        <v>19.925401069518717</v>
      </c>
      <c r="O60" s="28">
        <v>96849</v>
      </c>
      <c r="P60" s="28">
        <v>49165</v>
      </c>
      <c r="Q60" s="28"/>
      <c r="R60" s="48" t="s">
        <v>118</v>
      </c>
      <c r="S60" s="61">
        <v>45468</v>
      </c>
    </row>
    <row r="61" spans="1:19" ht="16.5" customHeight="1" x14ac:dyDescent="0.2">
      <c r="A61" s="35"/>
      <c r="B61" s="40" t="s">
        <v>173</v>
      </c>
      <c r="C61" s="43" t="s">
        <v>105</v>
      </c>
      <c r="D61" s="43" t="s">
        <v>149</v>
      </c>
      <c r="E61" s="43" t="s">
        <v>144</v>
      </c>
      <c r="F61" s="25">
        <v>2</v>
      </c>
      <c r="G61" s="43" t="s">
        <v>92</v>
      </c>
      <c r="H61" s="43" t="s">
        <v>23</v>
      </c>
      <c r="I61" s="43" t="s">
        <v>24</v>
      </c>
      <c r="J61" s="26">
        <v>3459.15</v>
      </c>
      <c r="K61" s="43" t="s">
        <v>94</v>
      </c>
      <c r="L61" s="26">
        <f t="shared" si="4"/>
        <v>3459.15</v>
      </c>
      <c r="M61" s="25">
        <v>277</v>
      </c>
      <c r="N61" s="26">
        <f t="shared" si="5"/>
        <v>12.487906137184115</v>
      </c>
      <c r="O61" s="25">
        <v>58274</v>
      </c>
      <c r="P61" s="25">
        <v>30244</v>
      </c>
      <c r="Q61" s="25"/>
      <c r="R61" s="40" t="s">
        <v>118</v>
      </c>
      <c r="S61" s="60">
        <v>45547</v>
      </c>
    </row>
    <row r="62" spans="1:19" ht="16.5" customHeight="1" x14ac:dyDescent="0.2">
      <c r="A62" s="35"/>
      <c r="B62" s="48" t="s">
        <v>174</v>
      </c>
      <c r="C62" s="51" t="s">
        <v>105</v>
      </c>
      <c r="D62" s="51" t="s">
        <v>149</v>
      </c>
      <c r="E62" s="51" t="s">
        <v>149</v>
      </c>
      <c r="F62" s="28">
        <v>1</v>
      </c>
      <c r="G62" s="51" t="s">
        <v>92</v>
      </c>
      <c r="H62" s="51" t="s">
        <v>23</v>
      </c>
      <c r="I62" s="51" t="s">
        <v>24</v>
      </c>
      <c r="J62" s="29">
        <v>3428.36</v>
      </c>
      <c r="K62" s="51" t="s">
        <v>94</v>
      </c>
      <c r="L62" s="29">
        <f t="shared" si="4"/>
        <v>3428.36</v>
      </c>
      <c r="M62" s="28">
        <v>230</v>
      </c>
      <c r="N62" s="29">
        <f t="shared" si="5"/>
        <v>14.905913043478261</v>
      </c>
      <c r="O62" s="28">
        <v>125510</v>
      </c>
      <c r="P62" s="28">
        <v>48712</v>
      </c>
      <c r="Q62" s="28"/>
      <c r="R62" s="48" t="s">
        <v>118</v>
      </c>
      <c r="S62" s="61">
        <v>45536</v>
      </c>
    </row>
    <row r="63" spans="1:19" ht="16.5" customHeight="1" x14ac:dyDescent="0.2">
      <c r="A63" s="35"/>
      <c r="B63" s="40" t="s">
        <v>175</v>
      </c>
      <c r="C63" s="43" t="s">
        <v>105</v>
      </c>
      <c r="D63" s="43" t="s">
        <v>163</v>
      </c>
      <c r="E63" s="43" t="s">
        <v>141</v>
      </c>
      <c r="F63" s="25">
        <v>2</v>
      </c>
      <c r="G63" s="43" t="s">
        <v>92</v>
      </c>
      <c r="H63" s="43" t="s">
        <v>23</v>
      </c>
      <c r="I63" s="43" t="s">
        <v>24</v>
      </c>
      <c r="J63" s="26">
        <v>3376.2</v>
      </c>
      <c r="K63" s="43" t="s">
        <v>94</v>
      </c>
      <c r="L63" s="26">
        <f t="shared" si="4"/>
        <v>3376.2</v>
      </c>
      <c r="M63" s="25">
        <v>199</v>
      </c>
      <c r="N63" s="26">
        <f t="shared" si="5"/>
        <v>16.965829145728641</v>
      </c>
      <c r="O63" s="25">
        <v>96668</v>
      </c>
      <c r="P63" s="25">
        <v>51016</v>
      </c>
      <c r="Q63" s="25"/>
      <c r="R63" s="40" t="s">
        <v>118</v>
      </c>
      <c r="S63" s="60">
        <v>45400</v>
      </c>
    </row>
    <row r="64" spans="1:19" ht="16.5" customHeight="1" x14ac:dyDescent="0.2">
      <c r="A64" s="35"/>
      <c r="B64" s="48" t="s">
        <v>176</v>
      </c>
      <c r="C64" s="51" t="s">
        <v>105</v>
      </c>
      <c r="D64" s="51" t="s">
        <v>142</v>
      </c>
      <c r="E64" s="51" t="s">
        <v>155</v>
      </c>
      <c r="F64" s="28">
        <v>2</v>
      </c>
      <c r="G64" s="51" t="s">
        <v>92</v>
      </c>
      <c r="H64" s="51" t="s">
        <v>23</v>
      </c>
      <c r="I64" s="51" t="s">
        <v>24</v>
      </c>
      <c r="J64" s="29">
        <v>3315.53</v>
      </c>
      <c r="K64" s="51" t="s">
        <v>94</v>
      </c>
      <c r="L64" s="29">
        <f t="shared" si="4"/>
        <v>3315.53</v>
      </c>
      <c r="M64" s="28">
        <v>206</v>
      </c>
      <c r="N64" s="29">
        <f t="shared" si="5"/>
        <v>16.09480582524272</v>
      </c>
      <c r="O64" s="28">
        <v>74451</v>
      </c>
      <c r="P64" s="28">
        <v>41943</v>
      </c>
      <c r="Q64" s="28"/>
      <c r="R64" s="48" t="s">
        <v>118</v>
      </c>
      <c r="S64" s="61">
        <v>45496</v>
      </c>
    </row>
    <row r="65" spans="1:19" ht="16.5" customHeight="1" x14ac:dyDescent="0.2">
      <c r="A65" s="35"/>
      <c r="B65" s="40" t="s">
        <v>177</v>
      </c>
      <c r="C65" s="43" t="s">
        <v>105</v>
      </c>
      <c r="D65" s="43" t="s">
        <v>144</v>
      </c>
      <c r="E65" s="43" t="s">
        <v>147</v>
      </c>
      <c r="F65" s="25">
        <v>2</v>
      </c>
      <c r="G65" s="43" t="s">
        <v>92</v>
      </c>
      <c r="H65" s="43" t="s">
        <v>23</v>
      </c>
      <c r="I65" s="43" t="s">
        <v>24</v>
      </c>
      <c r="J65" s="26">
        <v>3272.9</v>
      </c>
      <c r="K65" s="43" t="s">
        <v>94</v>
      </c>
      <c r="L65" s="26">
        <f t="shared" si="4"/>
        <v>3272.9</v>
      </c>
      <c r="M65" s="25">
        <v>305</v>
      </c>
      <c r="N65" s="26">
        <f t="shared" si="5"/>
        <v>10.730819672131148</v>
      </c>
      <c r="O65" s="25">
        <v>118651</v>
      </c>
      <c r="P65" s="25">
        <v>70056</v>
      </c>
      <c r="Q65" s="25"/>
      <c r="R65" s="40" t="s">
        <v>118</v>
      </c>
      <c r="S65" s="60">
        <v>45584</v>
      </c>
    </row>
    <row r="66" spans="1:19" ht="16.5" customHeight="1" x14ac:dyDescent="0.2">
      <c r="A66" s="35"/>
      <c r="B66" s="48" t="s">
        <v>178</v>
      </c>
      <c r="C66" s="51" t="s">
        <v>105</v>
      </c>
      <c r="D66" s="51" t="s">
        <v>141</v>
      </c>
      <c r="E66" s="51" t="s">
        <v>141</v>
      </c>
      <c r="F66" s="28">
        <v>1</v>
      </c>
      <c r="G66" s="51" t="s">
        <v>92</v>
      </c>
      <c r="H66" s="51" t="s">
        <v>23</v>
      </c>
      <c r="I66" s="51" t="s">
        <v>24</v>
      </c>
      <c r="J66" s="29">
        <v>3248.51</v>
      </c>
      <c r="K66" s="51" t="s">
        <v>94</v>
      </c>
      <c r="L66" s="29">
        <f t="shared" si="4"/>
        <v>3248.51</v>
      </c>
      <c r="M66" s="28">
        <v>197</v>
      </c>
      <c r="N66" s="29">
        <f t="shared" si="5"/>
        <v>16.489898477157361</v>
      </c>
      <c r="O66" s="28">
        <v>138169</v>
      </c>
      <c r="P66" s="28">
        <v>67497</v>
      </c>
      <c r="Q66" s="28"/>
      <c r="R66" s="48" t="s">
        <v>118</v>
      </c>
      <c r="S66" s="61">
        <v>45423</v>
      </c>
    </row>
    <row r="67" spans="1:19" ht="16.5" customHeight="1" x14ac:dyDescent="0.2">
      <c r="A67" s="35"/>
      <c r="B67" s="40" t="s">
        <v>179</v>
      </c>
      <c r="C67" s="43" t="s">
        <v>105</v>
      </c>
      <c r="D67" s="43" t="s">
        <v>142</v>
      </c>
      <c r="E67" s="43" t="s">
        <v>149</v>
      </c>
      <c r="F67" s="25">
        <v>3</v>
      </c>
      <c r="G67" s="43" t="s">
        <v>92</v>
      </c>
      <c r="H67" s="43" t="s">
        <v>23</v>
      </c>
      <c r="I67" s="43" t="s">
        <v>24</v>
      </c>
      <c r="J67" s="26">
        <v>3211.12</v>
      </c>
      <c r="K67" s="43" t="s">
        <v>94</v>
      </c>
      <c r="L67" s="26">
        <f t="shared" si="4"/>
        <v>3211.12</v>
      </c>
      <c r="M67" s="25">
        <v>101</v>
      </c>
      <c r="N67" s="26">
        <f t="shared" si="5"/>
        <v>31.793267326732671</v>
      </c>
      <c r="O67" s="25">
        <v>62759</v>
      </c>
      <c r="P67" s="25">
        <v>31169</v>
      </c>
      <c r="Q67" s="25"/>
      <c r="R67" s="40" t="s">
        <v>118</v>
      </c>
      <c r="S67" s="60">
        <v>45504</v>
      </c>
    </row>
    <row r="68" spans="1:19" ht="16.5" customHeight="1" x14ac:dyDescent="0.2">
      <c r="A68" s="35"/>
      <c r="B68" s="48" t="s">
        <v>180</v>
      </c>
      <c r="C68" s="51" t="s">
        <v>105</v>
      </c>
      <c r="D68" s="51" t="s">
        <v>163</v>
      </c>
      <c r="E68" s="51" t="s">
        <v>141</v>
      </c>
      <c r="F68" s="28">
        <v>2</v>
      </c>
      <c r="G68" s="51" t="s">
        <v>92</v>
      </c>
      <c r="H68" s="51" t="s">
        <v>23</v>
      </c>
      <c r="I68" s="51" t="s">
        <v>24</v>
      </c>
      <c r="J68" s="29">
        <v>3098.66</v>
      </c>
      <c r="K68" s="51" t="s">
        <v>94</v>
      </c>
      <c r="L68" s="29">
        <f t="shared" si="4"/>
        <v>3098.66</v>
      </c>
      <c r="M68" s="28">
        <v>325</v>
      </c>
      <c r="N68" s="29">
        <f t="shared" si="5"/>
        <v>9.5343384615384608</v>
      </c>
      <c r="O68" s="28">
        <v>157041</v>
      </c>
      <c r="P68" s="28">
        <v>88999</v>
      </c>
      <c r="Q68" s="28"/>
      <c r="R68" s="48" t="s">
        <v>118</v>
      </c>
      <c r="S68" s="61">
        <v>45403</v>
      </c>
    </row>
    <row r="69" spans="1:19" ht="16.5" customHeight="1" x14ac:dyDescent="0.2">
      <c r="A69" s="35"/>
      <c r="B69" s="40" t="s">
        <v>181</v>
      </c>
      <c r="C69" s="43" t="s">
        <v>105</v>
      </c>
      <c r="D69" s="43" t="s">
        <v>163</v>
      </c>
      <c r="E69" s="43" t="s">
        <v>153</v>
      </c>
      <c r="F69" s="25">
        <v>3</v>
      </c>
      <c r="G69" s="43" t="s">
        <v>182</v>
      </c>
      <c r="H69" s="43" t="s">
        <v>23</v>
      </c>
      <c r="I69" s="43" t="s">
        <v>183</v>
      </c>
      <c r="J69" s="26">
        <v>780.71</v>
      </c>
      <c r="K69" s="43" t="s">
        <v>184</v>
      </c>
      <c r="L69" s="26">
        <f t="shared" si="4"/>
        <v>2927.6625000000004</v>
      </c>
      <c r="M69" s="25">
        <v>7607</v>
      </c>
      <c r="N69" s="26">
        <f t="shared" si="5"/>
        <v>0.3848642697515447</v>
      </c>
      <c r="O69" s="25">
        <v>641967</v>
      </c>
      <c r="P69" s="25">
        <v>255435</v>
      </c>
      <c r="Q69" s="25"/>
      <c r="R69" s="40" t="s">
        <v>118</v>
      </c>
      <c r="S69" s="45" t="s">
        <v>96</v>
      </c>
    </row>
    <row r="70" spans="1:19" ht="16.5" customHeight="1" x14ac:dyDescent="0.2">
      <c r="A70" s="35"/>
      <c r="B70" s="48" t="s">
        <v>122</v>
      </c>
      <c r="C70" s="51" t="s">
        <v>105</v>
      </c>
      <c r="D70" s="51" t="s">
        <v>150</v>
      </c>
      <c r="E70" s="51" t="s">
        <v>151</v>
      </c>
      <c r="F70" s="28">
        <v>2</v>
      </c>
      <c r="G70" s="51" t="s">
        <v>92</v>
      </c>
      <c r="H70" s="51" t="s">
        <v>23</v>
      </c>
      <c r="I70" s="51" t="s">
        <v>67</v>
      </c>
      <c r="J70" s="29">
        <v>2865.74</v>
      </c>
      <c r="K70" s="51" t="s">
        <v>94</v>
      </c>
      <c r="L70" s="29">
        <f t="shared" si="4"/>
        <v>2865.74</v>
      </c>
      <c r="M70" s="28">
        <v>84636</v>
      </c>
      <c r="N70" s="29">
        <f t="shared" si="5"/>
        <v>3.38595869370008E-2</v>
      </c>
      <c r="O70" s="28">
        <v>1722795</v>
      </c>
      <c r="P70" s="28">
        <v>492971</v>
      </c>
      <c r="Q70" s="28"/>
      <c r="R70" s="48" t="s">
        <v>118</v>
      </c>
      <c r="S70" s="61">
        <v>45246</v>
      </c>
    </row>
    <row r="71" spans="1:19" ht="16.5" customHeight="1" x14ac:dyDescent="0.2">
      <c r="A71" s="35"/>
      <c r="B71" s="40" t="s">
        <v>185</v>
      </c>
      <c r="C71" s="43" t="s">
        <v>105</v>
      </c>
      <c r="D71" s="43" t="s">
        <v>167</v>
      </c>
      <c r="E71" s="43" t="s">
        <v>163</v>
      </c>
      <c r="F71" s="25">
        <v>2</v>
      </c>
      <c r="G71" s="43" t="s">
        <v>92</v>
      </c>
      <c r="H71" s="43" t="s">
        <v>23</v>
      </c>
      <c r="I71" s="43" t="s">
        <v>13</v>
      </c>
      <c r="J71" s="26">
        <v>2832.76</v>
      </c>
      <c r="K71" s="43" t="s">
        <v>94</v>
      </c>
      <c r="L71" s="26">
        <f t="shared" si="4"/>
        <v>2832.76</v>
      </c>
      <c r="M71" s="25">
        <v>3562742</v>
      </c>
      <c r="N71" s="26">
        <f t="shared" si="5"/>
        <v>7.9510669029640658E-4</v>
      </c>
      <c r="O71" s="25">
        <v>5352696</v>
      </c>
      <c r="P71" s="25">
        <v>3562742</v>
      </c>
      <c r="Q71" s="25"/>
      <c r="R71" s="40" t="s">
        <v>118</v>
      </c>
      <c r="S71" s="60">
        <v>45355</v>
      </c>
    </row>
    <row r="72" spans="1:19" ht="16.5" customHeight="1" x14ac:dyDescent="0.2">
      <c r="A72" s="35"/>
      <c r="B72" s="48" t="s">
        <v>186</v>
      </c>
      <c r="C72" s="51" t="s">
        <v>105</v>
      </c>
      <c r="D72" s="51" t="s">
        <v>153</v>
      </c>
      <c r="E72" s="51" t="s">
        <v>153</v>
      </c>
      <c r="F72" s="28">
        <v>1</v>
      </c>
      <c r="G72" s="51" t="s">
        <v>92</v>
      </c>
      <c r="H72" s="51" t="s">
        <v>23</v>
      </c>
      <c r="I72" s="51" t="s">
        <v>24</v>
      </c>
      <c r="J72" s="29">
        <v>2740.32</v>
      </c>
      <c r="K72" s="51" t="s">
        <v>94</v>
      </c>
      <c r="L72" s="29">
        <f t="shared" si="4"/>
        <v>2740.32</v>
      </c>
      <c r="M72" s="28">
        <v>47</v>
      </c>
      <c r="N72" s="29">
        <f t="shared" si="5"/>
        <v>58.304680851063836</v>
      </c>
      <c r="O72" s="28">
        <v>33471</v>
      </c>
      <c r="P72" s="28">
        <v>14946</v>
      </c>
      <c r="Q72" s="28"/>
      <c r="R72" s="48" t="s">
        <v>118</v>
      </c>
      <c r="S72" s="61">
        <v>45448</v>
      </c>
    </row>
    <row r="73" spans="1:19" ht="16.5" customHeight="1" x14ac:dyDescent="0.2">
      <c r="A73" s="35"/>
      <c r="B73" s="40" t="s">
        <v>187</v>
      </c>
      <c r="C73" s="43" t="s">
        <v>105</v>
      </c>
      <c r="D73" s="43" t="s">
        <v>145</v>
      </c>
      <c r="E73" s="43" t="s">
        <v>145</v>
      </c>
      <c r="F73" s="25">
        <v>1</v>
      </c>
      <c r="G73" s="43" t="s">
        <v>92</v>
      </c>
      <c r="H73" s="43" t="s">
        <v>23</v>
      </c>
      <c r="I73" s="43" t="s">
        <v>24</v>
      </c>
      <c r="J73" s="26">
        <v>2677.33</v>
      </c>
      <c r="K73" s="43" t="s">
        <v>94</v>
      </c>
      <c r="L73" s="26">
        <f t="shared" ref="L73:L104" si="6">IF(K73="USD",J73*$Q$7,J73)</f>
        <v>2677.33</v>
      </c>
      <c r="M73" s="25">
        <v>126</v>
      </c>
      <c r="N73" s="26">
        <f t="shared" ref="N73:N104" si="7">IFERROR(L73/M73,"")</f>
        <v>21.248650793650793</v>
      </c>
      <c r="O73" s="25">
        <v>62653</v>
      </c>
      <c r="P73" s="25">
        <v>20025</v>
      </c>
      <c r="Q73" s="25"/>
      <c r="R73" s="40" t="s">
        <v>118</v>
      </c>
      <c r="S73" s="60">
        <v>45639</v>
      </c>
    </row>
    <row r="74" spans="1:19" ht="16.5" customHeight="1" x14ac:dyDescent="0.2">
      <c r="A74" s="35"/>
      <c r="B74" s="48" t="s">
        <v>188</v>
      </c>
      <c r="C74" s="51" t="s">
        <v>105</v>
      </c>
      <c r="D74" s="51" t="s">
        <v>163</v>
      </c>
      <c r="E74" s="51" t="s">
        <v>163</v>
      </c>
      <c r="F74" s="28">
        <v>1</v>
      </c>
      <c r="G74" s="51" t="s">
        <v>92</v>
      </c>
      <c r="H74" s="51" t="s">
        <v>23</v>
      </c>
      <c r="I74" s="51" t="s">
        <v>24</v>
      </c>
      <c r="J74" s="29">
        <v>2283.8200000000002</v>
      </c>
      <c r="K74" s="51" t="s">
        <v>94</v>
      </c>
      <c r="L74" s="29">
        <f t="shared" si="6"/>
        <v>2283.8200000000002</v>
      </c>
      <c r="M74" s="28">
        <v>158</v>
      </c>
      <c r="N74" s="29">
        <f t="shared" si="7"/>
        <v>14.454556962025318</v>
      </c>
      <c r="O74" s="28">
        <v>65971</v>
      </c>
      <c r="P74" s="28">
        <v>30468</v>
      </c>
      <c r="Q74" s="28"/>
      <c r="R74" s="48" t="s">
        <v>118</v>
      </c>
      <c r="S74" s="61">
        <v>45387</v>
      </c>
    </row>
    <row r="75" spans="1:19" ht="16.5" customHeight="1" x14ac:dyDescent="0.2">
      <c r="A75" s="35"/>
      <c r="B75" s="40" t="s">
        <v>189</v>
      </c>
      <c r="C75" s="43" t="s">
        <v>105</v>
      </c>
      <c r="D75" s="43" t="s">
        <v>163</v>
      </c>
      <c r="E75" s="43" t="s">
        <v>141</v>
      </c>
      <c r="F75" s="25">
        <v>2</v>
      </c>
      <c r="G75" s="43" t="s">
        <v>92</v>
      </c>
      <c r="H75" s="43" t="s">
        <v>23</v>
      </c>
      <c r="I75" s="43" t="s">
        <v>24</v>
      </c>
      <c r="J75" s="26">
        <v>2121.63</v>
      </c>
      <c r="K75" s="43" t="s">
        <v>94</v>
      </c>
      <c r="L75" s="26">
        <f t="shared" si="6"/>
        <v>2121.63</v>
      </c>
      <c r="M75" s="25">
        <v>286</v>
      </c>
      <c r="N75" s="26">
        <f t="shared" si="7"/>
        <v>7.4182867132867134</v>
      </c>
      <c r="O75" s="25">
        <v>97947</v>
      </c>
      <c r="P75" s="25">
        <v>52287</v>
      </c>
      <c r="Q75" s="25"/>
      <c r="R75" s="40" t="s">
        <v>118</v>
      </c>
      <c r="S75" s="60">
        <v>45387</v>
      </c>
    </row>
    <row r="76" spans="1:19" ht="16.5" customHeight="1" x14ac:dyDescent="0.2">
      <c r="A76" s="35"/>
      <c r="B76" s="48" t="s">
        <v>190</v>
      </c>
      <c r="C76" s="51" t="s">
        <v>105</v>
      </c>
      <c r="D76" s="51" t="s">
        <v>163</v>
      </c>
      <c r="E76" s="51" t="s">
        <v>163</v>
      </c>
      <c r="F76" s="28">
        <v>1</v>
      </c>
      <c r="G76" s="51" t="s">
        <v>92</v>
      </c>
      <c r="H76" s="51" t="s">
        <v>23</v>
      </c>
      <c r="I76" s="51" t="s">
        <v>24</v>
      </c>
      <c r="J76" s="29">
        <v>2009.22</v>
      </c>
      <c r="K76" s="51" t="s">
        <v>94</v>
      </c>
      <c r="L76" s="29">
        <f t="shared" si="6"/>
        <v>2009.22</v>
      </c>
      <c r="M76" s="28">
        <v>96</v>
      </c>
      <c r="N76" s="29">
        <f t="shared" si="7"/>
        <v>20.929375</v>
      </c>
      <c r="O76" s="28">
        <v>43446</v>
      </c>
      <c r="P76" s="28">
        <v>20574</v>
      </c>
      <c r="Q76" s="28"/>
      <c r="R76" s="48" t="s">
        <v>118</v>
      </c>
      <c r="S76" s="61">
        <v>45387</v>
      </c>
    </row>
    <row r="77" spans="1:19" ht="16.5" customHeight="1" x14ac:dyDescent="0.2">
      <c r="A77" s="35"/>
      <c r="B77" s="40" t="s">
        <v>191</v>
      </c>
      <c r="C77" s="43" t="s">
        <v>105</v>
      </c>
      <c r="D77" s="43" t="s">
        <v>141</v>
      </c>
      <c r="E77" s="43" t="s">
        <v>141</v>
      </c>
      <c r="F77" s="25">
        <v>1</v>
      </c>
      <c r="G77" s="43" t="s">
        <v>92</v>
      </c>
      <c r="H77" s="43" t="s">
        <v>23</v>
      </c>
      <c r="I77" s="43" t="s">
        <v>24</v>
      </c>
      <c r="J77" s="26">
        <v>1823.72</v>
      </c>
      <c r="K77" s="43" t="s">
        <v>94</v>
      </c>
      <c r="L77" s="26">
        <f t="shared" si="6"/>
        <v>1823.72</v>
      </c>
      <c r="M77" s="25">
        <v>227</v>
      </c>
      <c r="N77" s="26">
        <f t="shared" si="7"/>
        <v>8.0340088105726881</v>
      </c>
      <c r="O77" s="25">
        <v>69812</v>
      </c>
      <c r="P77" s="25">
        <v>33538</v>
      </c>
      <c r="Q77" s="25"/>
      <c r="R77" s="40" t="s">
        <v>118</v>
      </c>
      <c r="S77" s="60">
        <v>45435</v>
      </c>
    </row>
    <row r="78" spans="1:19" ht="16.5" customHeight="1" x14ac:dyDescent="0.2">
      <c r="A78" s="35"/>
      <c r="B78" s="48" t="s">
        <v>192</v>
      </c>
      <c r="C78" s="51" t="s">
        <v>105</v>
      </c>
      <c r="D78" s="51" t="s">
        <v>167</v>
      </c>
      <c r="E78" s="51" t="s">
        <v>163</v>
      </c>
      <c r="F78" s="28">
        <v>2</v>
      </c>
      <c r="G78" s="51" t="s">
        <v>92</v>
      </c>
      <c r="H78" s="51" t="s">
        <v>23</v>
      </c>
      <c r="I78" s="51" t="s">
        <v>67</v>
      </c>
      <c r="J78" s="29">
        <v>1728.6</v>
      </c>
      <c r="K78" s="51" t="s">
        <v>94</v>
      </c>
      <c r="L78" s="29">
        <f t="shared" si="6"/>
        <v>1728.6</v>
      </c>
      <c r="M78" s="28">
        <v>27179</v>
      </c>
      <c r="N78" s="29">
        <f t="shared" si="7"/>
        <v>6.3600573972552338E-2</v>
      </c>
      <c r="O78" s="28">
        <v>494886</v>
      </c>
      <c r="P78" s="28">
        <v>203997</v>
      </c>
      <c r="Q78" s="28"/>
      <c r="R78" s="48" t="s">
        <v>118</v>
      </c>
      <c r="S78" s="61">
        <v>45373</v>
      </c>
    </row>
    <row r="79" spans="1:19" ht="16.5" customHeight="1" x14ac:dyDescent="0.2">
      <c r="A79" s="35"/>
      <c r="B79" s="40" t="s">
        <v>193</v>
      </c>
      <c r="C79" s="43" t="s">
        <v>105</v>
      </c>
      <c r="D79" s="43" t="s">
        <v>149</v>
      </c>
      <c r="E79" s="43" t="s">
        <v>144</v>
      </c>
      <c r="F79" s="25">
        <v>2</v>
      </c>
      <c r="G79" s="43" t="s">
        <v>92</v>
      </c>
      <c r="H79" s="43" t="s">
        <v>23</v>
      </c>
      <c r="I79" s="43" t="s">
        <v>24</v>
      </c>
      <c r="J79" s="26">
        <v>1693.64</v>
      </c>
      <c r="K79" s="43" t="s">
        <v>94</v>
      </c>
      <c r="L79" s="26">
        <f t="shared" si="6"/>
        <v>1693.64</v>
      </c>
      <c r="M79" s="25">
        <v>73</v>
      </c>
      <c r="N79" s="26">
        <f t="shared" si="7"/>
        <v>23.200547945205482</v>
      </c>
      <c r="O79" s="25">
        <v>26014</v>
      </c>
      <c r="P79" s="25">
        <v>15715</v>
      </c>
      <c r="Q79" s="25"/>
      <c r="R79" s="40" t="s">
        <v>118</v>
      </c>
      <c r="S79" s="60">
        <v>45557</v>
      </c>
    </row>
    <row r="80" spans="1:19" ht="16.5" customHeight="1" x14ac:dyDescent="0.2">
      <c r="A80" s="35"/>
      <c r="B80" s="48" t="s">
        <v>131</v>
      </c>
      <c r="C80" s="51" t="s">
        <v>105</v>
      </c>
      <c r="D80" s="51" t="s">
        <v>150</v>
      </c>
      <c r="E80" s="51" t="s">
        <v>151</v>
      </c>
      <c r="F80" s="28">
        <v>2</v>
      </c>
      <c r="G80" s="51" t="s">
        <v>92</v>
      </c>
      <c r="H80" s="51" t="s">
        <v>23</v>
      </c>
      <c r="I80" s="51" t="s">
        <v>67</v>
      </c>
      <c r="J80" s="29">
        <v>1688.07</v>
      </c>
      <c r="K80" s="51" t="s">
        <v>94</v>
      </c>
      <c r="L80" s="29">
        <f t="shared" si="6"/>
        <v>1688.07</v>
      </c>
      <c r="M80" s="28">
        <v>2124</v>
      </c>
      <c r="N80" s="29">
        <f t="shared" si="7"/>
        <v>0.7947598870056497</v>
      </c>
      <c r="O80" s="28">
        <v>290458</v>
      </c>
      <c r="P80" s="28">
        <v>159785</v>
      </c>
      <c r="Q80" s="28"/>
      <c r="R80" s="48" t="s">
        <v>118</v>
      </c>
      <c r="S80" s="61">
        <v>45263</v>
      </c>
    </row>
    <row r="81" spans="1:19" ht="16.5" customHeight="1" x14ac:dyDescent="0.2">
      <c r="A81" s="35"/>
      <c r="B81" s="40" t="s">
        <v>128</v>
      </c>
      <c r="C81" s="43" t="s">
        <v>105</v>
      </c>
      <c r="D81" s="43" t="s">
        <v>150</v>
      </c>
      <c r="E81" s="43" t="s">
        <v>150</v>
      </c>
      <c r="F81" s="25">
        <v>1</v>
      </c>
      <c r="G81" s="43" t="s">
        <v>92</v>
      </c>
      <c r="H81" s="43" t="s">
        <v>23</v>
      </c>
      <c r="I81" s="43" t="s">
        <v>67</v>
      </c>
      <c r="J81" s="26">
        <v>1550.83</v>
      </c>
      <c r="K81" s="43" t="s">
        <v>94</v>
      </c>
      <c r="L81" s="26">
        <f t="shared" si="6"/>
        <v>1550.83</v>
      </c>
      <c r="M81" s="25">
        <v>38262</v>
      </c>
      <c r="N81" s="26">
        <f t="shared" si="7"/>
        <v>4.0531859285975642E-2</v>
      </c>
      <c r="O81" s="25">
        <v>1320879</v>
      </c>
      <c r="P81" s="25">
        <v>425197</v>
      </c>
      <c r="Q81" s="25"/>
      <c r="R81" s="40" t="s">
        <v>118</v>
      </c>
      <c r="S81" s="60">
        <v>45252</v>
      </c>
    </row>
    <row r="82" spans="1:19" ht="16.5" customHeight="1" x14ac:dyDescent="0.2">
      <c r="A82" s="35"/>
      <c r="B82" s="48" t="s">
        <v>194</v>
      </c>
      <c r="C82" s="51" t="s">
        <v>105</v>
      </c>
      <c r="D82" s="51" t="s">
        <v>167</v>
      </c>
      <c r="E82" s="51" t="s">
        <v>163</v>
      </c>
      <c r="F82" s="28">
        <v>2</v>
      </c>
      <c r="G82" s="51" t="s">
        <v>92</v>
      </c>
      <c r="H82" s="51" t="s">
        <v>23</v>
      </c>
      <c r="I82" s="51" t="s">
        <v>66</v>
      </c>
      <c r="J82" s="29">
        <v>1498.9</v>
      </c>
      <c r="K82" s="51" t="s">
        <v>94</v>
      </c>
      <c r="L82" s="29">
        <f t="shared" si="6"/>
        <v>1498.9</v>
      </c>
      <c r="M82" s="28">
        <v>32116</v>
      </c>
      <c r="N82" s="29">
        <f t="shared" si="7"/>
        <v>4.6671441026279736E-2</v>
      </c>
      <c r="O82" s="28">
        <v>369998</v>
      </c>
      <c r="P82" s="28">
        <v>168432</v>
      </c>
      <c r="Q82" s="28"/>
      <c r="R82" s="48" t="s">
        <v>118</v>
      </c>
      <c r="S82" s="61">
        <v>45355</v>
      </c>
    </row>
    <row r="83" spans="1:19" ht="16.5" customHeight="1" x14ac:dyDescent="0.2">
      <c r="A83" s="35"/>
      <c r="B83" s="40" t="s">
        <v>195</v>
      </c>
      <c r="C83" s="43" t="s">
        <v>105</v>
      </c>
      <c r="D83" s="43" t="s">
        <v>149</v>
      </c>
      <c r="E83" s="43" t="s">
        <v>144</v>
      </c>
      <c r="F83" s="25">
        <v>2</v>
      </c>
      <c r="G83" s="43" t="s">
        <v>92</v>
      </c>
      <c r="H83" s="43" t="s">
        <v>23</v>
      </c>
      <c r="I83" s="43" t="s">
        <v>65</v>
      </c>
      <c r="J83" s="26">
        <v>1112.08</v>
      </c>
      <c r="K83" s="43" t="s">
        <v>94</v>
      </c>
      <c r="L83" s="26">
        <f t="shared" si="6"/>
        <v>1112.08</v>
      </c>
      <c r="M83" s="25">
        <v>139</v>
      </c>
      <c r="N83" s="26">
        <f t="shared" si="7"/>
        <v>8.0005755395683451</v>
      </c>
      <c r="O83" s="25">
        <v>84591</v>
      </c>
      <c r="P83" s="25">
        <v>64532</v>
      </c>
      <c r="Q83" s="25"/>
      <c r="R83" s="40" t="s">
        <v>118</v>
      </c>
      <c r="S83" s="60">
        <v>45563</v>
      </c>
    </row>
    <row r="84" spans="1:19" ht="16.5" customHeight="1" x14ac:dyDescent="0.2">
      <c r="A84" s="35"/>
      <c r="B84" s="48" t="s">
        <v>196</v>
      </c>
      <c r="C84" s="51" t="s">
        <v>105</v>
      </c>
      <c r="D84" s="51" t="s">
        <v>167</v>
      </c>
      <c r="E84" s="51" t="s">
        <v>167</v>
      </c>
      <c r="F84" s="28">
        <v>1</v>
      </c>
      <c r="G84" s="51" t="s">
        <v>92</v>
      </c>
      <c r="H84" s="51" t="s">
        <v>23</v>
      </c>
      <c r="I84" s="51" t="s">
        <v>24</v>
      </c>
      <c r="J84" s="29">
        <v>900.47</v>
      </c>
      <c r="K84" s="51" t="s">
        <v>94</v>
      </c>
      <c r="L84" s="29">
        <f t="shared" si="6"/>
        <v>900.47</v>
      </c>
      <c r="M84" s="28">
        <v>215</v>
      </c>
      <c r="N84" s="29">
        <f t="shared" si="7"/>
        <v>4.1882325581395348</v>
      </c>
      <c r="O84" s="28">
        <v>67082</v>
      </c>
      <c r="P84" s="28">
        <v>35620</v>
      </c>
      <c r="Q84" s="28"/>
      <c r="R84" s="48" t="s">
        <v>118</v>
      </c>
      <c r="S84" s="61">
        <v>45355</v>
      </c>
    </row>
    <row r="85" spans="1:19" ht="16.5" customHeight="1" x14ac:dyDescent="0.2">
      <c r="A85" s="35"/>
      <c r="B85" s="40" t="s">
        <v>197</v>
      </c>
      <c r="C85" s="43" t="s">
        <v>105</v>
      </c>
      <c r="D85" s="43" t="s">
        <v>151</v>
      </c>
      <c r="E85" s="43" t="s">
        <v>151</v>
      </c>
      <c r="F85" s="25">
        <v>1</v>
      </c>
      <c r="G85" s="43" t="s">
        <v>92</v>
      </c>
      <c r="H85" s="43" t="s">
        <v>23</v>
      </c>
      <c r="I85" s="43" t="s">
        <v>66</v>
      </c>
      <c r="J85" s="26">
        <v>890.63</v>
      </c>
      <c r="K85" s="43" t="s">
        <v>94</v>
      </c>
      <c r="L85" s="26">
        <f t="shared" si="6"/>
        <v>890.63</v>
      </c>
      <c r="M85" s="25">
        <v>13532</v>
      </c>
      <c r="N85" s="26">
        <f t="shared" si="7"/>
        <v>6.581658291457286E-2</v>
      </c>
      <c r="O85" s="25">
        <v>330053</v>
      </c>
      <c r="P85" s="25">
        <v>207412</v>
      </c>
      <c r="Q85" s="25"/>
      <c r="R85" s="40" t="s">
        <v>118</v>
      </c>
      <c r="S85" s="60">
        <v>45335</v>
      </c>
    </row>
    <row r="86" spans="1:19" ht="16.5" customHeight="1" x14ac:dyDescent="0.2">
      <c r="A86" s="35"/>
      <c r="B86" s="48" t="s">
        <v>198</v>
      </c>
      <c r="C86" s="51" t="s">
        <v>105</v>
      </c>
      <c r="D86" s="51" t="s">
        <v>167</v>
      </c>
      <c r="E86" s="51" t="s">
        <v>163</v>
      </c>
      <c r="F86" s="28">
        <v>2</v>
      </c>
      <c r="G86" s="51" t="s">
        <v>92</v>
      </c>
      <c r="H86" s="51" t="s">
        <v>23</v>
      </c>
      <c r="I86" s="51" t="s">
        <v>67</v>
      </c>
      <c r="J86" s="29">
        <v>730.23</v>
      </c>
      <c r="K86" s="51" t="s">
        <v>94</v>
      </c>
      <c r="L86" s="29">
        <f t="shared" si="6"/>
        <v>730.23</v>
      </c>
      <c r="M86" s="28">
        <v>616</v>
      </c>
      <c r="N86" s="29">
        <f t="shared" si="7"/>
        <v>1.1854383116883118</v>
      </c>
      <c r="O86" s="28">
        <v>53400</v>
      </c>
      <c r="P86" s="28">
        <v>31825</v>
      </c>
      <c r="Q86" s="28"/>
      <c r="R86" s="48" t="s">
        <v>118</v>
      </c>
      <c r="S86" s="61">
        <v>45379</v>
      </c>
    </row>
    <row r="87" spans="1:19" ht="16.5" customHeight="1" x14ac:dyDescent="0.2">
      <c r="A87" s="35"/>
      <c r="B87" s="40" t="s">
        <v>199</v>
      </c>
      <c r="C87" s="43" t="s">
        <v>105</v>
      </c>
      <c r="D87" s="43" t="s">
        <v>153</v>
      </c>
      <c r="E87" s="43" t="s">
        <v>142</v>
      </c>
      <c r="F87" s="25">
        <v>2</v>
      </c>
      <c r="G87" s="43" t="s">
        <v>92</v>
      </c>
      <c r="H87" s="43" t="s">
        <v>23</v>
      </c>
      <c r="I87" s="43" t="s">
        <v>200</v>
      </c>
      <c r="J87" s="26">
        <v>586.76</v>
      </c>
      <c r="K87" s="43" t="s">
        <v>94</v>
      </c>
      <c r="L87" s="26">
        <f t="shared" si="6"/>
        <v>586.76</v>
      </c>
      <c r="M87" s="25">
        <v>2</v>
      </c>
      <c r="N87" s="26">
        <f t="shared" si="7"/>
        <v>293.38</v>
      </c>
      <c r="O87" s="25">
        <v>60023</v>
      </c>
      <c r="P87" s="25">
        <v>31015</v>
      </c>
      <c r="Q87" s="25"/>
      <c r="R87" s="40" t="s">
        <v>118</v>
      </c>
      <c r="S87" s="60">
        <v>45467</v>
      </c>
    </row>
    <row r="88" spans="1:19" ht="16.5" customHeight="1" x14ac:dyDescent="0.2">
      <c r="A88" s="35"/>
      <c r="B88" s="48" t="s">
        <v>201</v>
      </c>
      <c r="C88" s="51" t="s">
        <v>105</v>
      </c>
      <c r="D88" s="51" t="s">
        <v>145</v>
      </c>
      <c r="E88" s="51" t="s">
        <v>145</v>
      </c>
      <c r="F88" s="28">
        <v>1</v>
      </c>
      <c r="G88" s="51" t="s">
        <v>92</v>
      </c>
      <c r="H88" s="51" t="s">
        <v>23</v>
      </c>
      <c r="I88" s="51" t="s">
        <v>24</v>
      </c>
      <c r="J88" s="29">
        <v>513.26</v>
      </c>
      <c r="K88" s="51" t="s">
        <v>94</v>
      </c>
      <c r="L88" s="29">
        <f t="shared" si="6"/>
        <v>513.26</v>
      </c>
      <c r="M88" s="28">
        <v>18</v>
      </c>
      <c r="N88" s="29">
        <f t="shared" si="7"/>
        <v>28.514444444444443</v>
      </c>
      <c r="O88" s="28">
        <v>8051</v>
      </c>
      <c r="P88" s="28">
        <v>5538</v>
      </c>
      <c r="Q88" s="28"/>
      <c r="R88" s="48" t="s">
        <v>118</v>
      </c>
      <c r="S88" s="61">
        <v>45655</v>
      </c>
    </row>
    <row r="89" spans="1:19" ht="16.5" customHeight="1" x14ac:dyDescent="0.2">
      <c r="A89" s="35"/>
      <c r="B89" s="40" t="s">
        <v>202</v>
      </c>
      <c r="C89" s="43" t="s">
        <v>105</v>
      </c>
      <c r="D89" s="43" t="s">
        <v>163</v>
      </c>
      <c r="E89" s="43" t="s">
        <v>163</v>
      </c>
      <c r="F89" s="25">
        <v>1</v>
      </c>
      <c r="G89" s="43" t="s">
        <v>92</v>
      </c>
      <c r="H89" s="43" t="s">
        <v>23</v>
      </c>
      <c r="I89" s="43" t="s">
        <v>24</v>
      </c>
      <c r="J89" s="26">
        <v>405.51</v>
      </c>
      <c r="K89" s="43" t="s">
        <v>94</v>
      </c>
      <c r="L89" s="26">
        <f t="shared" si="6"/>
        <v>405.51</v>
      </c>
      <c r="M89" s="25">
        <v>36</v>
      </c>
      <c r="N89" s="26">
        <f t="shared" si="7"/>
        <v>11.264166666666666</v>
      </c>
      <c r="O89" s="25">
        <v>12898</v>
      </c>
      <c r="P89" s="25">
        <v>8272</v>
      </c>
      <c r="Q89" s="25"/>
      <c r="R89" s="40" t="s">
        <v>118</v>
      </c>
      <c r="S89" s="60">
        <v>45395</v>
      </c>
    </row>
    <row r="90" spans="1:19" ht="16.5" customHeight="1" x14ac:dyDescent="0.2">
      <c r="A90" s="35"/>
      <c r="B90" s="48" t="s">
        <v>203</v>
      </c>
      <c r="C90" s="51" t="s">
        <v>105</v>
      </c>
      <c r="D90" s="51" t="s">
        <v>142</v>
      </c>
      <c r="E90" s="51" t="s">
        <v>142</v>
      </c>
      <c r="F90" s="28">
        <v>1</v>
      </c>
      <c r="G90" s="51" t="s">
        <v>92</v>
      </c>
      <c r="H90" s="51" t="s">
        <v>23</v>
      </c>
      <c r="I90" s="51" t="s">
        <v>93</v>
      </c>
      <c r="J90" s="29">
        <v>351.63</v>
      </c>
      <c r="K90" s="51" t="s">
        <v>94</v>
      </c>
      <c r="L90" s="29">
        <f t="shared" si="6"/>
        <v>351.63</v>
      </c>
      <c r="M90" s="28"/>
      <c r="N90" s="29" t="str">
        <f t="shared" si="7"/>
        <v/>
      </c>
      <c r="O90" s="28">
        <v>12734</v>
      </c>
      <c r="P90" s="28">
        <v>6363</v>
      </c>
      <c r="Q90" s="28"/>
      <c r="R90" s="48" t="s">
        <v>118</v>
      </c>
      <c r="S90" s="61">
        <v>45474</v>
      </c>
    </row>
    <row r="91" spans="1:19" ht="16.5" customHeight="1" x14ac:dyDescent="0.2">
      <c r="A91" s="35"/>
      <c r="B91" s="40" t="s">
        <v>204</v>
      </c>
      <c r="C91" s="43" t="s">
        <v>105</v>
      </c>
      <c r="D91" s="43" t="s">
        <v>149</v>
      </c>
      <c r="E91" s="43" t="s">
        <v>149</v>
      </c>
      <c r="F91" s="25">
        <v>1</v>
      </c>
      <c r="G91" s="43" t="s">
        <v>92</v>
      </c>
      <c r="H91" s="43" t="s">
        <v>23</v>
      </c>
      <c r="I91" s="43" t="s">
        <v>65</v>
      </c>
      <c r="J91" s="26">
        <v>323.67</v>
      </c>
      <c r="K91" s="43" t="s">
        <v>94</v>
      </c>
      <c r="L91" s="26">
        <f t="shared" si="6"/>
        <v>323.67</v>
      </c>
      <c r="M91" s="25">
        <v>34</v>
      </c>
      <c r="N91" s="26">
        <f t="shared" si="7"/>
        <v>9.519705882352941</v>
      </c>
      <c r="O91" s="25">
        <v>11560</v>
      </c>
      <c r="P91" s="25">
        <v>9749</v>
      </c>
      <c r="Q91" s="25"/>
      <c r="R91" s="40" t="s">
        <v>118</v>
      </c>
      <c r="S91" s="60">
        <v>45557</v>
      </c>
    </row>
    <row r="92" spans="1:19" ht="16.5" customHeight="1" x14ac:dyDescent="0.2">
      <c r="A92" s="35"/>
      <c r="B92" s="48" t="s">
        <v>205</v>
      </c>
      <c r="C92" s="51" t="s">
        <v>105</v>
      </c>
      <c r="D92" s="51" t="s">
        <v>149</v>
      </c>
      <c r="E92" s="51" t="s">
        <v>149</v>
      </c>
      <c r="F92" s="28">
        <v>1</v>
      </c>
      <c r="G92" s="51" t="s">
        <v>92</v>
      </c>
      <c r="H92" s="51" t="s">
        <v>23</v>
      </c>
      <c r="I92" s="51" t="s">
        <v>24</v>
      </c>
      <c r="J92" s="29">
        <v>167.69</v>
      </c>
      <c r="K92" s="51" t="s">
        <v>94</v>
      </c>
      <c r="L92" s="29">
        <f t="shared" si="6"/>
        <v>167.69</v>
      </c>
      <c r="M92" s="28">
        <v>20</v>
      </c>
      <c r="N92" s="29">
        <f t="shared" si="7"/>
        <v>8.3844999999999992</v>
      </c>
      <c r="O92" s="28">
        <v>2974</v>
      </c>
      <c r="P92" s="28">
        <v>2391</v>
      </c>
      <c r="Q92" s="28"/>
      <c r="R92" s="48" t="s">
        <v>118</v>
      </c>
      <c r="S92" s="61">
        <v>45546</v>
      </c>
    </row>
    <row r="93" spans="1:19" ht="16.5" customHeight="1" x14ac:dyDescent="0.2">
      <c r="A93" s="35"/>
      <c r="B93" s="40" t="s">
        <v>206</v>
      </c>
      <c r="C93" s="43" t="s">
        <v>105</v>
      </c>
      <c r="D93" s="43" t="s">
        <v>151</v>
      </c>
      <c r="E93" s="43" t="s">
        <v>151</v>
      </c>
      <c r="F93" s="25">
        <v>1</v>
      </c>
      <c r="G93" s="43" t="s">
        <v>92</v>
      </c>
      <c r="H93" s="43" t="s">
        <v>23</v>
      </c>
      <c r="I93" s="43" t="s">
        <v>13</v>
      </c>
      <c r="J93" s="26">
        <v>78.41</v>
      </c>
      <c r="K93" s="43" t="s">
        <v>94</v>
      </c>
      <c r="L93" s="26">
        <f t="shared" si="6"/>
        <v>78.41</v>
      </c>
      <c r="M93" s="25">
        <v>82594</v>
      </c>
      <c r="N93" s="26">
        <f t="shared" si="7"/>
        <v>9.493425672567014E-4</v>
      </c>
      <c r="O93" s="25">
        <v>84140</v>
      </c>
      <c r="P93" s="25">
        <v>82594</v>
      </c>
      <c r="Q93" s="25"/>
      <c r="R93" s="40" t="s">
        <v>118</v>
      </c>
      <c r="S93" s="60">
        <v>45339</v>
      </c>
    </row>
    <row r="94" spans="1:19" ht="16.5" customHeight="1" x14ac:dyDescent="0.2">
      <c r="A94" s="35"/>
      <c r="B94" s="48" t="s">
        <v>207</v>
      </c>
      <c r="C94" s="51" t="s">
        <v>105</v>
      </c>
      <c r="D94" s="51" t="s">
        <v>163</v>
      </c>
      <c r="E94" s="51" t="s">
        <v>163</v>
      </c>
      <c r="F94" s="28">
        <v>1</v>
      </c>
      <c r="G94" s="51" t="s">
        <v>92</v>
      </c>
      <c r="H94" s="51" t="s">
        <v>23</v>
      </c>
      <c r="I94" s="51" t="s">
        <v>93</v>
      </c>
      <c r="J94" s="29">
        <v>49.25</v>
      </c>
      <c r="K94" s="51" t="s">
        <v>94</v>
      </c>
      <c r="L94" s="29">
        <f t="shared" si="6"/>
        <v>49.25</v>
      </c>
      <c r="M94" s="28"/>
      <c r="N94" s="29" t="str">
        <f t="shared" si="7"/>
        <v/>
      </c>
      <c r="O94" s="28">
        <v>1896</v>
      </c>
      <c r="P94" s="28">
        <v>1503</v>
      </c>
      <c r="Q94" s="28"/>
      <c r="R94" s="48" t="s">
        <v>118</v>
      </c>
      <c r="S94" s="61">
        <v>45410</v>
      </c>
    </row>
    <row r="95" spans="1:19" ht="16.5" customHeight="1" x14ac:dyDescent="0.2">
      <c r="A95" s="35"/>
      <c r="B95" s="40" t="s">
        <v>208</v>
      </c>
      <c r="C95" s="43" t="s">
        <v>105</v>
      </c>
      <c r="D95" s="43" t="s">
        <v>151</v>
      </c>
      <c r="E95" s="43" t="s">
        <v>151</v>
      </c>
      <c r="F95" s="25">
        <v>1</v>
      </c>
      <c r="G95" s="43" t="s">
        <v>92</v>
      </c>
      <c r="H95" s="43" t="s">
        <v>23</v>
      </c>
      <c r="I95" s="43" t="s">
        <v>24</v>
      </c>
      <c r="J95" s="26">
        <v>40.76</v>
      </c>
      <c r="K95" s="43" t="s">
        <v>94</v>
      </c>
      <c r="L95" s="26">
        <f t="shared" si="6"/>
        <v>40.76</v>
      </c>
      <c r="M95" s="25">
        <v>7</v>
      </c>
      <c r="N95" s="26">
        <f t="shared" si="7"/>
        <v>5.822857142857143</v>
      </c>
      <c r="O95" s="25">
        <v>2669</v>
      </c>
      <c r="P95" s="25">
        <v>1907</v>
      </c>
      <c r="Q95" s="25"/>
      <c r="R95" s="40" t="s">
        <v>118</v>
      </c>
      <c r="S95" s="60">
        <v>45339</v>
      </c>
    </row>
    <row r="96" spans="1:19" ht="16.5" customHeight="1" x14ac:dyDescent="0.2">
      <c r="A96" s="35"/>
      <c r="B96" s="48" t="s">
        <v>30</v>
      </c>
      <c r="C96" s="51" t="s">
        <v>107</v>
      </c>
      <c r="D96" s="51" t="s">
        <v>209</v>
      </c>
      <c r="E96" s="51" t="s">
        <v>210</v>
      </c>
      <c r="F96" s="28">
        <v>11</v>
      </c>
      <c r="G96" s="51" t="s">
        <v>92</v>
      </c>
      <c r="H96" s="51" t="s">
        <v>23</v>
      </c>
      <c r="I96" s="51" t="s">
        <v>24</v>
      </c>
      <c r="J96" s="29">
        <v>28595.45</v>
      </c>
      <c r="K96" s="51" t="s">
        <v>94</v>
      </c>
      <c r="L96" s="29">
        <f t="shared" si="6"/>
        <v>28595.45</v>
      </c>
      <c r="M96" s="28">
        <v>2114</v>
      </c>
      <c r="N96" s="29">
        <f t="shared" si="7"/>
        <v>13.52670293282876</v>
      </c>
      <c r="O96" s="28">
        <v>782133</v>
      </c>
      <c r="P96" s="28">
        <v>255086</v>
      </c>
      <c r="Q96" s="28">
        <v>22</v>
      </c>
      <c r="R96" s="48" t="s">
        <v>118</v>
      </c>
      <c r="S96" s="61">
        <v>45706</v>
      </c>
    </row>
    <row r="97" spans="1:19" ht="16.5" customHeight="1" x14ac:dyDescent="0.2">
      <c r="A97" s="35"/>
      <c r="B97" s="40" t="s">
        <v>201</v>
      </c>
      <c r="C97" s="43" t="s">
        <v>107</v>
      </c>
      <c r="D97" s="43" t="s">
        <v>211</v>
      </c>
      <c r="E97" s="43" t="s">
        <v>212</v>
      </c>
      <c r="F97" s="25">
        <v>4</v>
      </c>
      <c r="G97" s="43" t="s">
        <v>92</v>
      </c>
      <c r="H97" s="43" t="s">
        <v>23</v>
      </c>
      <c r="I97" s="43" t="s">
        <v>24</v>
      </c>
      <c r="J97" s="26">
        <v>9984.43</v>
      </c>
      <c r="K97" s="43" t="s">
        <v>94</v>
      </c>
      <c r="L97" s="26">
        <f t="shared" si="6"/>
        <v>9984.43</v>
      </c>
      <c r="M97" s="25">
        <v>552</v>
      </c>
      <c r="N97" s="26">
        <f t="shared" si="7"/>
        <v>18.087735507246379</v>
      </c>
      <c r="O97" s="25">
        <v>168975</v>
      </c>
      <c r="P97" s="25">
        <v>73500</v>
      </c>
      <c r="Q97" s="25">
        <v>5</v>
      </c>
      <c r="R97" s="40" t="s">
        <v>118</v>
      </c>
      <c r="S97" s="60">
        <v>45758</v>
      </c>
    </row>
    <row r="98" spans="1:19" ht="16.5" customHeight="1" x14ac:dyDescent="0.2">
      <c r="A98" s="35"/>
      <c r="B98" s="48" t="s">
        <v>213</v>
      </c>
      <c r="C98" s="51" t="s">
        <v>107</v>
      </c>
      <c r="D98" s="51" t="s">
        <v>209</v>
      </c>
      <c r="E98" s="51" t="s">
        <v>214</v>
      </c>
      <c r="F98" s="28">
        <v>4</v>
      </c>
      <c r="G98" s="51" t="s">
        <v>92</v>
      </c>
      <c r="H98" s="51" t="s">
        <v>23</v>
      </c>
      <c r="I98" s="51" t="s">
        <v>24</v>
      </c>
      <c r="J98" s="29">
        <v>9196.42</v>
      </c>
      <c r="K98" s="51" t="s">
        <v>94</v>
      </c>
      <c r="L98" s="29">
        <f t="shared" si="6"/>
        <v>9196.42</v>
      </c>
      <c r="M98" s="28">
        <v>497</v>
      </c>
      <c r="N98" s="29">
        <f t="shared" si="7"/>
        <v>18.503863179074447</v>
      </c>
      <c r="O98" s="28">
        <v>164990</v>
      </c>
      <c r="P98" s="28">
        <v>74113</v>
      </c>
      <c r="Q98" s="28">
        <v>2</v>
      </c>
      <c r="R98" s="48" t="s">
        <v>118</v>
      </c>
      <c r="S98" s="61">
        <v>45708</v>
      </c>
    </row>
    <row r="99" spans="1:19" ht="16.5" customHeight="1" x14ac:dyDescent="0.2">
      <c r="A99" s="35"/>
      <c r="B99" s="40" t="s">
        <v>215</v>
      </c>
      <c r="C99" s="43" t="s">
        <v>107</v>
      </c>
      <c r="D99" s="43" t="s">
        <v>209</v>
      </c>
      <c r="E99" s="43" t="s">
        <v>216</v>
      </c>
      <c r="F99" s="25">
        <v>6</v>
      </c>
      <c r="G99" s="43" t="s">
        <v>92</v>
      </c>
      <c r="H99" s="43" t="s">
        <v>23</v>
      </c>
      <c r="I99" s="43" t="s">
        <v>24</v>
      </c>
      <c r="J99" s="26">
        <v>7403.86</v>
      </c>
      <c r="K99" s="43" t="s">
        <v>94</v>
      </c>
      <c r="L99" s="26">
        <f t="shared" si="6"/>
        <v>7403.86</v>
      </c>
      <c r="M99" s="25">
        <v>376</v>
      </c>
      <c r="N99" s="26">
        <f t="shared" si="7"/>
        <v>19.691117021276593</v>
      </c>
      <c r="O99" s="25">
        <v>219022</v>
      </c>
      <c r="P99" s="25">
        <v>98574</v>
      </c>
      <c r="Q99" s="25">
        <v>3</v>
      </c>
      <c r="R99" s="40" t="s">
        <v>118</v>
      </c>
      <c r="S99" s="60">
        <v>45889</v>
      </c>
    </row>
    <row r="100" spans="1:19" ht="16.5" customHeight="1" x14ac:dyDescent="0.2">
      <c r="A100" s="35"/>
      <c r="B100" s="48" t="s">
        <v>217</v>
      </c>
      <c r="C100" s="51" t="s">
        <v>107</v>
      </c>
      <c r="D100" s="51" t="s">
        <v>218</v>
      </c>
      <c r="E100" s="51" t="s">
        <v>219</v>
      </c>
      <c r="F100" s="28">
        <v>3</v>
      </c>
      <c r="G100" s="51" t="s">
        <v>92</v>
      </c>
      <c r="H100" s="51" t="s">
        <v>23</v>
      </c>
      <c r="I100" s="51" t="s">
        <v>24</v>
      </c>
      <c r="J100" s="29">
        <v>5285.98</v>
      </c>
      <c r="K100" s="51" t="s">
        <v>94</v>
      </c>
      <c r="L100" s="29">
        <f t="shared" si="6"/>
        <v>5285.98</v>
      </c>
      <c r="M100" s="28">
        <v>222</v>
      </c>
      <c r="N100" s="29">
        <f t="shared" si="7"/>
        <v>23.81072072072072</v>
      </c>
      <c r="O100" s="28">
        <v>112705</v>
      </c>
      <c r="P100" s="28">
        <v>45463</v>
      </c>
      <c r="Q100" s="28">
        <v>4</v>
      </c>
      <c r="R100" s="48" t="s">
        <v>118</v>
      </c>
      <c r="S100" s="61">
        <v>45866</v>
      </c>
    </row>
    <row r="101" spans="1:19" ht="16.5" customHeight="1" x14ac:dyDescent="0.2">
      <c r="A101" s="35"/>
      <c r="B101" s="40" t="s">
        <v>220</v>
      </c>
      <c r="C101" s="43" t="s">
        <v>107</v>
      </c>
      <c r="D101" s="43" t="s">
        <v>209</v>
      </c>
      <c r="E101" s="43" t="s">
        <v>221</v>
      </c>
      <c r="F101" s="25">
        <v>3</v>
      </c>
      <c r="G101" s="43" t="s">
        <v>92</v>
      </c>
      <c r="H101" s="43" t="s">
        <v>23</v>
      </c>
      <c r="I101" s="43" t="s">
        <v>24</v>
      </c>
      <c r="J101" s="26">
        <v>4580.01</v>
      </c>
      <c r="K101" s="43" t="s">
        <v>94</v>
      </c>
      <c r="L101" s="26">
        <f t="shared" si="6"/>
        <v>4580.01</v>
      </c>
      <c r="M101" s="25">
        <v>229</v>
      </c>
      <c r="N101" s="26">
        <f t="shared" si="7"/>
        <v>20.00004366812227</v>
      </c>
      <c r="O101" s="25">
        <v>61283</v>
      </c>
      <c r="P101" s="25">
        <v>29150</v>
      </c>
      <c r="Q101" s="25"/>
      <c r="R101" s="40" t="s">
        <v>118</v>
      </c>
      <c r="S101" s="60">
        <v>45707</v>
      </c>
    </row>
    <row r="102" spans="1:19" ht="16.5" customHeight="1" x14ac:dyDescent="0.2">
      <c r="A102" s="35"/>
      <c r="B102" s="48" t="s">
        <v>222</v>
      </c>
      <c r="C102" s="51" t="s">
        <v>107</v>
      </c>
      <c r="D102" s="51" t="s">
        <v>223</v>
      </c>
      <c r="E102" s="51" t="s">
        <v>214</v>
      </c>
      <c r="F102" s="28">
        <v>4</v>
      </c>
      <c r="G102" s="51" t="s">
        <v>92</v>
      </c>
      <c r="H102" s="51" t="s">
        <v>23</v>
      </c>
      <c r="I102" s="51" t="s">
        <v>183</v>
      </c>
      <c r="J102" s="29">
        <v>4342.55</v>
      </c>
      <c r="K102" s="51" t="s">
        <v>94</v>
      </c>
      <c r="L102" s="29">
        <f t="shared" si="6"/>
        <v>4342.55</v>
      </c>
      <c r="M102" s="28">
        <v>9092</v>
      </c>
      <c r="N102" s="29">
        <f t="shared" si="7"/>
        <v>0.47762318521777386</v>
      </c>
      <c r="O102" s="28">
        <v>477757</v>
      </c>
      <c r="P102" s="28">
        <v>246578</v>
      </c>
      <c r="Q102" s="28">
        <v>1</v>
      </c>
      <c r="R102" s="48" t="s">
        <v>118</v>
      </c>
      <c r="S102" s="61">
        <v>45873</v>
      </c>
    </row>
    <row r="103" spans="1:19" ht="16.5" customHeight="1" x14ac:dyDescent="0.2">
      <c r="A103" s="35"/>
      <c r="B103" s="40" t="s">
        <v>224</v>
      </c>
      <c r="C103" s="43" t="s">
        <v>107</v>
      </c>
      <c r="D103" s="43" t="s">
        <v>214</v>
      </c>
      <c r="E103" s="43" t="s">
        <v>210</v>
      </c>
      <c r="F103" s="25">
        <v>2</v>
      </c>
      <c r="G103" s="43" t="s">
        <v>92</v>
      </c>
      <c r="H103" s="43" t="s">
        <v>23</v>
      </c>
      <c r="I103" s="43" t="s">
        <v>24</v>
      </c>
      <c r="J103" s="26">
        <v>4229.8100000000004</v>
      </c>
      <c r="K103" s="43" t="s">
        <v>94</v>
      </c>
      <c r="L103" s="26">
        <f t="shared" si="6"/>
        <v>4229.8100000000004</v>
      </c>
      <c r="M103" s="25">
        <v>286</v>
      </c>
      <c r="N103" s="26">
        <f t="shared" si="7"/>
        <v>14.789545454545456</v>
      </c>
      <c r="O103" s="25">
        <v>60058</v>
      </c>
      <c r="P103" s="25">
        <v>30504</v>
      </c>
      <c r="Q103" s="25">
        <v>2</v>
      </c>
      <c r="R103" s="40" t="s">
        <v>118</v>
      </c>
      <c r="S103" s="60">
        <v>45971</v>
      </c>
    </row>
    <row r="104" spans="1:19" ht="16.5" customHeight="1" x14ac:dyDescent="0.2">
      <c r="A104" s="35"/>
      <c r="B104" s="48" t="s">
        <v>225</v>
      </c>
      <c r="C104" s="51" t="s">
        <v>107</v>
      </c>
      <c r="D104" s="51" t="s">
        <v>212</v>
      </c>
      <c r="E104" s="51" t="s">
        <v>218</v>
      </c>
      <c r="F104" s="28">
        <v>2</v>
      </c>
      <c r="G104" s="51" t="s">
        <v>92</v>
      </c>
      <c r="H104" s="51" t="s">
        <v>23</v>
      </c>
      <c r="I104" s="51" t="s">
        <v>24</v>
      </c>
      <c r="J104" s="29">
        <v>4211.2299999999996</v>
      </c>
      <c r="K104" s="51" t="s">
        <v>94</v>
      </c>
      <c r="L104" s="29">
        <f t="shared" si="6"/>
        <v>4211.2299999999996</v>
      </c>
      <c r="M104" s="28">
        <v>262</v>
      </c>
      <c r="N104" s="29">
        <f t="shared" si="7"/>
        <v>16.073396946564884</v>
      </c>
      <c r="O104" s="28">
        <v>90850</v>
      </c>
      <c r="P104" s="28">
        <v>48454</v>
      </c>
      <c r="Q104" s="28">
        <v>1</v>
      </c>
      <c r="R104" s="48" t="s">
        <v>118</v>
      </c>
      <c r="S104" s="61">
        <v>45820</v>
      </c>
    </row>
    <row r="105" spans="1:19" ht="16.5" customHeight="1" x14ac:dyDescent="0.2">
      <c r="A105" s="35"/>
      <c r="B105" s="40" t="s">
        <v>226</v>
      </c>
      <c r="C105" s="43" t="s">
        <v>107</v>
      </c>
      <c r="D105" s="43" t="s">
        <v>209</v>
      </c>
      <c r="E105" s="43" t="s">
        <v>218</v>
      </c>
      <c r="F105" s="25">
        <v>5</v>
      </c>
      <c r="G105" s="43" t="s">
        <v>92</v>
      </c>
      <c r="H105" s="43" t="s">
        <v>23</v>
      </c>
      <c r="I105" s="43" t="s">
        <v>24</v>
      </c>
      <c r="J105" s="26">
        <v>4194.12</v>
      </c>
      <c r="K105" s="43" t="s">
        <v>94</v>
      </c>
      <c r="L105" s="26">
        <f t="shared" ref="L105:L136" si="8">IF(K105="USD",J105*$Q$7,J105)</f>
        <v>4194.12</v>
      </c>
      <c r="M105" s="25">
        <v>79</v>
      </c>
      <c r="N105" s="26">
        <f t="shared" ref="N105:N136" si="9">IFERROR(L105/M105,"")</f>
        <v>53.090126582278479</v>
      </c>
      <c r="O105" s="25">
        <v>98968</v>
      </c>
      <c r="P105" s="25">
        <v>44306</v>
      </c>
      <c r="Q105" s="25">
        <v>2</v>
      </c>
      <c r="R105" s="40" t="s">
        <v>118</v>
      </c>
      <c r="S105" s="60">
        <v>45711</v>
      </c>
    </row>
    <row r="106" spans="1:19" ht="16.5" customHeight="1" x14ac:dyDescent="0.2">
      <c r="A106" s="35"/>
      <c r="B106" s="48" t="s">
        <v>227</v>
      </c>
      <c r="C106" s="51" t="s">
        <v>107</v>
      </c>
      <c r="D106" s="51" t="s">
        <v>219</v>
      </c>
      <c r="E106" s="51" t="s">
        <v>216</v>
      </c>
      <c r="F106" s="28">
        <v>2</v>
      </c>
      <c r="G106" s="51" t="s">
        <v>92</v>
      </c>
      <c r="H106" s="51" t="s">
        <v>23</v>
      </c>
      <c r="I106" s="51" t="s">
        <v>24</v>
      </c>
      <c r="J106" s="29">
        <v>4135.4399999999996</v>
      </c>
      <c r="K106" s="51" t="s">
        <v>94</v>
      </c>
      <c r="L106" s="29">
        <f t="shared" si="8"/>
        <v>4135.4399999999996</v>
      </c>
      <c r="M106" s="28">
        <v>189</v>
      </c>
      <c r="N106" s="29">
        <f t="shared" si="9"/>
        <v>21.880634920634918</v>
      </c>
      <c r="O106" s="28">
        <v>82288</v>
      </c>
      <c r="P106" s="28">
        <v>39006</v>
      </c>
      <c r="Q106" s="28">
        <v>3</v>
      </c>
      <c r="R106" s="48" t="s">
        <v>118</v>
      </c>
      <c r="S106" s="61">
        <v>45916</v>
      </c>
    </row>
    <row r="107" spans="1:19" ht="16.5" customHeight="1" x14ac:dyDescent="0.2">
      <c r="A107" s="35"/>
      <c r="B107" s="40" t="s">
        <v>228</v>
      </c>
      <c r="C107" s="43" t="s">
        <v>107</v>
      </c>
      <c r="D107" s="43" t="s">
        <v>212</v>
      </c>
      <c r="E107" s="43" t="s">
        <v>218</v>
      </c>
      <c r="F107" s="25">
        <v>2</v>
      </c>
      <c r="G107" s="43" t="s">
        <v>92</v>
      </c>
      <c r="H107" s="43" t="s">
        <v>23</v>
      </c>
      <c r="I107" s="43" t="s">
        <v>24</v>
      </c>
      <c r="J107" s="26">
        <v>4078.28</v>
      </c>
      <c r="K107" s="43" t="s">
        <v>94</v>
      </c>
      <c r="L107" s="26">
        <f t="shared" si="8"/>
        <v>4078.28</v>
      </c>
      <c r="M107" s="25">
        <v>141</v>
      </c>
      <c r="N107" s="26">
        <f t="shared" si="9"/>
        <v>28.923971631205674</v>
      </c>
      <c r="O107" s="25">
        <v>127919</v>
      </c>
      <c r="P107" s="25">
        <v>72705</v>
      </c>
      <c r="Q107" s="25">
        <v>1</v>
      </c>
      <c r="R107" s="40" t="s">
        <v>118</v>
      </c>
      <c r="S107" s="60">
        <v>45812</v>
      </c>
    </row>
    <row r="108" spans="1:19" ht="16.5" customHeight="1" x14ac:dyDescent="0.2">
      <c r="A108" s="35"/>
      <c r="B108" s="48" t="s">
        <v>36</v>
      </c>
      <c r="C108" s="51" t="s">
        <v>107</v>
      </c>
      <c r="D108" s="51" t="s">
        <v>210</v>
      </c>
      <c r="E108" s="51" t="s">
        <v>210</v>
      </c>
      <c r="F108" s="28">
        <v>1</v>
      </c>
      <c r="G108" s="51" t="s">
        <v>92</v>
      </c>
      <c r="H108" s="51" t="s">
        <v>23</v>
      </c>
      <c r="I108" s="51" t="s">
        <v>24</v>
      </c>
      <c r="J108" s="29">
        <v>4026.36</v>
      </c>
      <c r="K108" s="51" t="s">
        <v>94</v>
      </c>
      <c r="L108" s="29">
        <f t="shared" si="8"/>
        <v>4026.36</v>
      </c>
      <c r="M108" s="28">
        <v>673</v>
      </c>
      <c r="N108" s="29">
        <f t="shared" si="9"/>
        <v>5.9827043090638936</v>
      </c>
      <c r="O108" s="28">
        <v>397204</v>
      </c>
      <c r="P108" s="28">
        <v>109220</v>
      </c>
      <c r="Q108" s="28">
        <v>2</v>
      </c>
      <c r="R108" s="48" t="s">
        <v>118</v>
      </c>
      <c r="S108" s="61">
        <v>45995</v>
      </c>
    </row>
    <row r="109" spans="1:19" ht="16.5" customHeight="1" x14ac:dyDescent="0.2">
      <c r="A109" s="35"/>
      <c r="B109" s="40" t="s">
        <v>229</v>
      </c>
      <c r="C109" s="43" t="s">
        <v>107</v>
      </c>
      <c r="D109" s="43" t="s">
        <v>221</v>
      </c>
      <c r="E109" s="43" t="s">
        <v>221</v>
      </c>
      <c r="F109" s="25">
        <v>1</v>
      </c>
      <c r="G109" s="43" t="s">
        <v>92</v>
      </c>
      <c r="H109" s="43" t="s">
        <v>23</v>
      </c>
      <c r="I109" s="43" t="s">
        <v>24</v>
      </c>
      <c r="J109" s="26">
        <v>3796.03</v>
      </c>
      <c r="K109" s="43" t="s">
        <v>94</v>
      </c>
      <c r="L109" s="26">
        <f t="shared" si="8"/>
        <v>3796.03</v>
      </c>
      <c r="M109" s="25">
        <v>250</v>
      </c>
      <c r="N109" s="26">
        <f t="shared" si="9"/>
        <v>15.18412</v>
      </c>
      <c r="O109" s="25">
        <v>143461</v>
      </c>
      <c r="P109" s="25">
        <v>64134</v>
      </c>
      <c r="Q109" s="25">
        <v>2</v>
      </c>
      <c r="R109" s="40" t="s">
        <v>118</v>
      </c>
      <c r="S109" s="60">
        <v>45750</v>
      </c>
    </row>
    <row r="110" spans="1:19" ht="16.5" customHeight="1" x14ac:dyDescent="0.2">
      <c r="A110" s="35"/>
      <c r="B110" s="48" t="s">
        <v>230</v>
      </c>
      <c r="C110" s="51" t="s">
        <v>107</v>
      </c>
      <c r="D110" s="51" t="s">
        <v>209</v>
      </c>
      <c r="E110" s="51" t="s">
        <v>231</v>
      </c>
      <c r="F110" s="28">
        <v>4</v>
      </c>
      <c r="G110" s="51" t="s">
        <v>92</v>
      </c>
      <c r="H110" s="51" t="s">
        <v>23</v>
      </c>
      <c r="I110" s="51" t="s">
        <v>24</v>
      </c>
      <c r="J110" s="29">
        <v>3667.06</v>
      </c>
      <c r="K110" s="51" t="s">
        <v>94</v>
      </c>
      <c r="L110" s="29">
        <f t="shared" si="8"/>
        <v>3667.06</v>
      </c>
      <c r="M110" s="28">
        <v>184</v>
      </c>
      <c r="N110" s="29">
        <f t="shared" si="9"/>
        <v>19.929673913043477</v>
      </c>
      <c r="O110" s="28">
        <v>51305</v>
      </c>
      <c r="P110" s="28">
        <v>28790</v>
      </c>
      <c r="Q110" s="28">
        <v>2</v>
      </c>
      <c r="R110" s="48" t="s">
        <v>118</v>
      </c>
      <c r="S110" s="61">
        <v>45708</v>
      </c>
    </row>
    <row r="111" spans="1:19" ht="16.5" customHeight="1" x14ac:dyDescent="0.2">
      <c r="A111" s="35"/>
      <c r="B111" s="40" t="s">
        <v>232</v>
      </c>
      <c r="C111" s="43" t="s">
        <v>107</v>
      </c>
      <c r="D111" s="43" t="s">
        <v>223</v>
      </c>
      <c r="E111" s="43" t="s">
        <v>216</v>
      </c>
      <c r="F111" s="25">
        <v>2</v>
      </c>
      <c r="G111" s="43" t="s">
        <v>92</v>
      </c>
      <c r="H111" s="43" t="s">
        <v>23</v>
      </c>
      <c r="I111" s="43" t="s">
        <v>24</v>
      </c>
      <c r="J111" s="26">
        <v>2738.17</v>
      </c>
      <c r="K111" s="43" t="s">
        <v>94</v>
      </c>
      <c r="L111" s="26">
        <f t="shared" si="8"/>
        <v>2738.17</v>
      </c>
      <c r="M111" s="25">
        <v>172</v>
      </c>
      <c r="N111" s="26">
        <f t="shared" si="9"/>
        <v>15.919593023255814</v>
      </c>
      <c r="O111" s="25">
        <v>38051</v>
      </c>
      <c r="P111" s="25">
        <v>18868</v>
      </c>
      <c r="Q111" s="25">
        <v>1</v>
      </c>
      <c r="R111" s="40" t="s">
        <v>118</v>
      </c>
      <c r="S111" s="60">
        <v>45877</v>
      </c>
    </row>
    <row r="112" spans="1:19" ht="16.5" customHeight="1" x14ac:dyDescent="0.2">
      <c r="A112" s="35"/>
      <c r="B112" s="48" t="s">
        <v>187</v>
      </c>
      <c r="C112" s="51" t="s">
        <v>107</v>
      </c>
      <c r="D112" s="51" t="s">
        <v>211</v>
      </c>
      <c r="E112" s="51" t="s">
        <v>211</v>
      </c>
      <c r="F112" s="28">
        <v>1</v>
      </c>
      <c r="G112" s="51" t="s">
        <v>92</v>
      </c>
      <c r="H112" s="51" t="s">
        <v>23</v>
      </c>
      <c r="I112" s="51" t="s">
        <v>24</v>
      </c>
      <c r="J112" s="29">
        <v>2624.01</v>
      </c>
      <c r="K112" s="51" t="s">
        <v>94</v>
      </c>
      <c r="L112" s="29">
        <f t="shared" si="8"/>
        <v>2624.01</v>
      </c>
      <c r="M112" s="28">
        <v>81</v>
      </c>
      <c r="N112" s="29">
        <f t="shared" si="9"/>
        <v>32.395185185185191</v>
      </c>
      <c r="O112" s="28">
        <v>70865</v>
      </c>
      <c r="P112" s="28">
        <v>27343</v>
      </c>
      <c r="Q112" s="28"/>
      <c r="R112" s="48" t="s">
        <v>118</v>
      </c>
      <c r="S112" s="61">
        <v>45639</v>
      </c>
    </row>
    <row r="113" spans="1:19" ht="16.5" customHeight="1" x14ac:dyDescent="0.2">
      <c r="A113" s="35"/>
      <c r="B113" s="40" t="s">
        <v>165</v>
      </c>
      <c r="C113" s="43" t="s">
        <v>107</v>
      </c>
      <c r="D113" s="43" t="s">
        <v>211</v>
      </c>
      <c r="E113" s="43" t="s">
        <v>212</v>
      </c>
      <c r="F113" s="25">
        <v>3</v>
      </c>
      <c r="G113" s="43" t="s">
        <v>92</v>
      </c>
      <c r="H113" s="43" t="s">
        <v>23</v>
      </c>
      <c r="I113" s="43" t="s">
        <v>24</v>
      </c>
      <c r="J113" s="26">
        <v>2516.52</v>
      </c>
      <c r="K113" s="43" t="s">
        <v>94</v>
      </c>
      <c r="L113" s="26">
        <f t="shared" si="8"/>
        <v>2516.52</v>
      </c>
      <c r="M113" s="25">
        <v>467</v>
      </c>
      <c r="N113" s="26">
        <f t="shared" si="9"/>
        <v>5.388693790149893</v>
      </c>
      <c r="O113" s="25">
        <v>170950</v>
      </c>
      <c r="P113" s="25">
        <v>80490</v>
      </c>
      <c r="Q113" s="25">
        <v>1</v>
      </c>
      <c r="R113" s="40" t="s">
        <v>118</v>
      </c>
      <c r="S113" s="60">
        <v>45805</v>
      </c>
    </row>
    <row r="114" spans="1:19" ht="16.5" customHeight="1" x14ac:dyDescent="0.2">
      <c r="A114" s="35"/>
      <c r="B114" s="48" t="s">
        <v>233</v>
      </c>
      <c r="C114" s="51" t="s">
        <v>107</v>
      </c>
      <c r="D114" s="51" t="s">
        <v>209</v>
      </c>
      <c r="E114" s="51" t="s">
        <v>221</v>
      </c>
      <c r="F114" s="28">
        <v>3</v>
      </c>
      <c r="G114" s="51" t="s">
        <v>92</v>
      </c>
      <c r="H114" s="51" t="s">
        <v>23</v>
      </c>
      <c r="I114" s="51" t="s">
        <v>24</v>
      </c>
      <c r="J114" s="29">
        <v>2401.8200000000002</v>
      </c>
      <c r="K114" s="51" t="s">
        <v>94</v>
      </c>
      <c r="L114" s="29">
        <f t="shared" si="8"/>
        <v>2401.8200000000002</v>
      </c>
      <c r="M114" s="28">
        <v>63</v>
      </c>
      <c r="N114" s="29">
        <f t="shared" si="9"/>
        <v>38.124126984126988</v>
      </c>
      <c r="O114" s="28">
        <v>40537</v>
      </c>
      <c r="P114" s="28">
        <v>19967</v>
      </c>
      <c r="Q114" s="28">
        <v>1</v>
      </c>
      <c r="R114" s="48" t="s">
        <v>118</v>
      </c>
      <c r="S114" s="61">
        <v>45714</v>
      </c>
    </row>
    <row r="115" spans="1:19" ht="16.5" customHeight="1" x14ac:dyDescent="0.2">
      <c r="A115" s="35"/>
      <c r="B115" s="40" t="s">
        <v>234</v>
      </c>
      <c r="C115" s="43" t="s">
        <v>107</v>
      </c>
      <c r="D115" s="43" t="s">
        <v>231</v>
      </c>
      <c r="E115" s="43" t="s">
        <v>218</v>
      </c>
      <c r="F115" s="25">
        <v>3</v>
      </c>
      <c r="G115" s="43" t="s">
        <v>92</v>
      </c>
      <c r="H115" s="43" t="s">
        <v>23</v>
      </c>
      <c r="I115" s="43" t="s">
        <v>24</v>
      </c>
      <c r="J115" s="26">
        <v>2378.9</v>
      </c>
      <c r="K115" s="43" t="s">
        <v>94</v>
      </c>
      <c r="L115" s="26">
        <f t="shared" si="8"/>
        <v>2378.9</v>
      </c>
      <c r="M115" s="25">
        <v>120</v>
      </c>
      <c r="N115" s="26">
        <f t="shared" si="9"/>
        <v>19.824166666666667</v>
      </c>
      <c r="O115" s="25">
        <v>42209</v>
      </c>
      <c r="P115" s="25">
        <v>24731</v>
      </c>
      <c r="Q115" s="25">
        <v>1</v>
      </c>
      <c r="R115" s="40" t="s">
        <v>118</v>
      </c>
      <c r="S115" s="60">
        <v>45807</v>
      </c>
    </row>
    <row r="116" spans="1:19" ht="16.5" customHeight="1" x14ac:dyDescent="0.2">
      <c r="A116" s="35"/>
      <c r="B116" s="48" t="s">
        <v>235</v>
      </c>
      <c r="C116" s="51" t="s">
        <v>107</v>
      </c>
      <c r="D116" s="51" t="s">
        <v>218</v>
      </c>
      <c r="E116" s="51" t="s">
        <v>223</v>
      </c>
      <c r="F116" s="28">
        <v>2</v>
      </c>
      <c r="G116" s="51" t="s">
        <v>92</v>
      </c>
      <c r="H116" s="51" t="s">
        <v>23</v>
      </c>
      <c r="I116" s="51" t="s">
        <v>24</v>
      </c>
      <c r="J116" s="29">
        <v>2218.79</v>
      </c>
      <c r="K116" s="51" t="s">
        <v>94</v>
      </c>
      <c r="L116" s="29">
        <f t="shared" si="8"/>
        <v>2218.79</v>
      </c>
      <c r="M116" s="28">
        <v>105</v>
      </c>
      <c r="N116" s="29">
        <f t="shared" si="9"/>
        <v>21.131333333333334</v>
      </c>
      <c r="O116" s="28">
        <v>55291</v>
      </c>
      <c r="P116" s="28">
        <v>22180</v>
      </c>
      <c r="Q116" s="28">
        <v>2</v>
      </c>
      <c r="R116" s="48" t="s">
        <v>118</v>
      </c>
      <c r="S116" s="61">
        <v>45866</v>
      </c>
    </row>
    <row r="117" spans="1:19" ht="16.5" customHeight="1" x14ac:dyDescent="0.2">
      <c r="A117" s="35"/>
      <c r="B117" s="40" t="s">
        <v>236</v>
      </c>
      <c r="C117" s="43" t="s">
        <v>107</v>
      </c>
      <c r="D117" s="43" t="s">
        <v>211</v>
      </c>
      <c r="E117" s="43" t="s">
        <v>209</v>
      </c>
      <c r="F117" s="25">
        <v>2</v>
      </c>
      <c r="G117" s="43" t="s">
        <v>92</v>
      </c>
      <c r="H117" s="43" t="s">
        <v>23</v>
      </c>
      <c r="I117" s="43" t="s">
        <v>24</v>
      </c>
      <c r="J117" s="26">
        <v>2085.2800000000002</v>
      </c>
      <c r="K117" s="43" t="s">
        <v>94</v>
      </c>
      <c r="L117" s="26">
        <f t="shared" si="8"/>
        <v>2085.2800000000002</v>
      </c>
      <c r="M117" s="25">
        <v>124</v>
      </c>
      <c r="N117" s="26">
        <f t="shared" si="9"/>
        <v>16.81677419354839</v>
      </c>
      <c r="O117" s="25">
        <v>63627</v>
      </c>
      <c r="P117" s="25">
        <v>37232</v>
      </c>
      <c r="Q117" s="25"/>
      <c r="R117" s="40" t="s">
        <v>118</v>
      </c>
      <c r="S117" s="60">
        <v>45676</v>
      </c>
    </row>
    <row r="118" spans="1:19" ht="16.5" customHeight="1" x14ac:dyDescent="0.2">
      <c r="A118" s="35"/>
      <c r="B118" s="48" t="s">
        <v>237</v>
      </c>
      <c r="C118" s="51" t="s">
        <v>107</v>
      </c>
      <c r="D118" s="51" t="s">
        <v>218</v>
      </c>
      <c r="E118" s="51" t="s">
        <v>223</v>
      </c>
      <c r="F118" s="28">
        <v>2</v>
      </c>
      <c r="G118" s="51" t="s">
        <v>92</v>
      </c>
      <c r="H118" s="51" t="s">
        <v>23</v>
      </c>
      <c r="I118" s="51" t="s">
        <v>24</v>
      </c>
      <c r="J118" s="29">
        <v>1957.92</v>
      </c>
      <c r="K118" s="51" t="s">
        <v>94</v>
      </c>
      <c r="L118" s="29">
        <f t="shared" si="8"/>
        <v>1957.92</v>
      </c>
      <c r="M118" s="28">
        <v>169</v>
      </c>
      <c r="N118" s="29">
        <f t="shared" si="9"/>
        <v>11.585325443786983</v>
      </c>
      <c r="O118" s="28">
        <v>28265</v>
      </c>
      <c r="P118" s="28">
        <v>14405</v>
      </c>
      <c r="Q118" s="28">
        <v>2</v>
      </c>
      <c r="R118" s="48" t="s">
        <v>118</v>
      </c>
      <c r="S118" s="61">
        <v>45861</v>
      </c>
    </row>
    <row r="119" spans="1:19" ht="16.5" customHeight="1" x14ac:dyDescent="0.2">
      <c r="A119" s="35"/>
      <c r="B119" s="40" t="s">
        <v>238</v>
      </c>
      <c r="C119" s="43" t="s">
        <v>107</v>
      </c>
      <c r="D119" s="43" t="s">
        <v>212</v>
      </c>
      <c r="E119" s="43" t="s">
        <v>218</v>
      </c>
      <c r="F119" s="25">
        <v>2</v>
      </c>
      <c r="G119" s="43" t="s">
        <v>92</v>
      </c>
      <c r="H119" s="43" t="s">
        <v>23</v>
      </c>
      <c r="I119" s="43" t="s">
        <v>24</v>
      </c>
      <c r="J119" s="26">
        <v>1625.8</v>
      </c>
      <c r="K119" s="43" t="s">
        <v>94</v>
      </c>
      <c r="L119" s="26">
        <f t="shared" si="8"/>
        <v>1625.8</v>
      </c>
      <c r="M119" s="25">
        <v>79</v>
      </c>
      <c r="N119" s="26">
        <f t="shared" si="9"/>
        <v>20.579746835443036</v>
      </c>
      <c r="O119" s="25">
        <v>58386</v>
      </c>
      <c r="P119" s="25">
        <v>37033</v>
      </c>
      <c r="Q119" s="25">
        <v>2</v>
      </c>
      <c r="R119" s="40" t="s">
        <v>118</v>
      </c>
      <c r="S119" s="60">
        <v>45829</v>
      </c>
    </row>
    <row r="120" spans="1:19" ht="16.5" customHeight="1" x14ac:dyDescent="0.2">
      <c r="A120" s="35"/>
      <c r="B120" s="48" t="s">
        <v>239</v>
      </c>
      <c r="C120" s="51" t="s">
        <v>107</v>
      </c>
      <c r="D120" s="51" t="s">
        <v>218</v>
      </c>
      <c r="E120" s="51" t="s">
        <v>218</v>
      </c>
      <c r="F120" s="28">
        <v>1</v>
      </c>
      <c r="G120" s="51" t="s">
        <v>92</v>
      </c>
      <c r="H120" s="51" t="s">
        <v>23</v>
      </c>
      <c r="I120" s="51" t="s">
        <v>24</v>
      </c>
      <c r="J120" s="29">
        <v>1585.72</v>
      </c>
      <c r="K120" s="51" t="s">
        <v>94</v>
      </c>
      <c r="L120" s="29">
        <f t="shared" si="8"/>
        <v>1585.72</v>
      </c>
      <c r="M120" s="28">
        <v>47</v>
      </c>
      <c r="N120" s="29">
        <f t="shared" si="9"/>
        <v>33.738723404255317</v>
      </c>
      <c r="O120" s="28">
        <v>48147</v>
      </c>
      <c r="P120" s="28">
        <v>23043</v>
      </c>
      <c r="Q120" s="28"/>
      <c r="R120" s="48" t="s">
        <v>118</v>
      </c>
      <c r="S120" s="61">
        <v>45845</v>
      </c>
    </row>
    <row r="121" spans="1:19" ht="16.5" customHeight="1" x14ac:dyDescent="0.2">
      <c r="A121" s="35"/>
      <c r="B121" s="40" t="s">
        <v>240</v>
      </c>
      <c r="C121" s="43" t="s">
        <v>107</v>
      </c>
      <c r="D121" s="43" t="s">
        <v>210</v>
      </c>
      <c r="E121" s="43" t="s">
        <v>210</v>
      </c>
      <c r="F121" s="25">
        <v>1</v>
      </c>
      <c r="G121" s="43" t="s">
        <v>92</v>
      </c>
      <c r="H121" s="43" t="s">
        <v>23</v>
      </c>
      <c r="I121" s="43" t="s">
        <v>24</v>
      </c>
      <c r="J121" s="26">
        <v>1023.68</v>
      </c>
      <c r="K121" s="43" t="s">
        <v>94</v>
      </c>
      <c r="L121" s="26">
        <f t="shared" si="8"/>
        <v>1023.68</v>
      </c>
      <c r="M121" s="25">
        <v>32</v>
      </c>
      <c r="N121" s="26">
        <f t="shared" si="9"/>
        <v>31.99</v>
      </c>
      <c r="O121" s="25">
        <v>32286</v>
      </c>
      <c r="P121" s="25">
        <v>18868</v>
      </c>
      <c r="Q121" s="25">
        <v>1</v>
      </c>
      <c r="R121" s="40" t="s">
        <v>118</v>
      </c>
      <c r="S121" s="60">
        <v>45999</v>
      </c>
    </row>
    <row r="122" spans="1:19" ht="16.5" customHeight="1" x14ac:dyDescent="0.2">
      <c r="A122" s="35"/>
      <c r="B122" s="48" t="s">
        <v>241</v>
      </c>
      <c r="C122" s="51" t="s">
        <v>107</v>
      </c>
      <c r="D122" s="51" t="s">
        <v>210</v>
      </c>
      <c r="E122" s="51" t="s">
        <v>210</v>
      </c>
      <c r="F122" s="28">
        <v>1</v>
      </c>
      <c r="G122" s="51" t="s">
        <v>92</v>
      </c>
      <c r="H122" s="51" t="s">
        <v>23</v>
      </c>
      <c r="I122" s="51" t="s">
        <v>24</v>
      </c>
      <c r="J122" s="29">
        <v>867.25</v>
      </c>
      <c r="K122" s="51" t="s">
        <v>94</v>
      </c>
      <c r="L122" s="29">
        <f t="shared" si="8"/>
        <v>867.25</v>
      </c>
      <c r="M122" s="28">
        <v>36</v>
      </c>
      <c r="N122" s="29">
        <f t="shared" si="9"/>
        <v>24.090277777777779</v>
      </c>
      <c r="O122" s="28">
        <v>32947</v>
      </c>
      <c r="P122" s="28">
        <v>19499</v>
      </c>
      <c r="Q122" s="28"/>
      <c r="R122" s="48" t="s">
        <v>118</v>
      </c>
      <c r="S122" s="61">
        <v>46002</v>
      </c>
    </row>
    <row r="123" spans="1:19" ht="16.5" customHeight="1" x14ac:dyDescent="0.2">
      <c r="A123" s="35"/>
      <c r="B123" s="40" t="s">
        <v>242</v>
      </c>
      <c r="C123" s="43" t="s">
        <v>107</v>
      </c>
      <c r="D123" s="43" t="s">
        <v>231</v>
      </c>
      <c r="E123" s="43" t="s">
        <v>231</v>
      </c>
      <c r="F123" s="25">
        <v>1</v>
      </c>
      <c r="G123" s="43" t="s">
        <v>92</v>
      </c>
      <c r="H123" s="43" t="s">
        <v>23</v>
      </c>
      <c r="I123" s="43" t="s">
        <v>24</v>
      </c>
      <c r="J123" s="26">
        <v>856.55</v>
      </c>
      <c r="K123" s="43" t="s">
        <v>94</v>
      </c>
      <c r="L123" s="26">
        <f t="shared" si="8"/>
        <v>856.55</v>
      </c>
      <c r="M123" s="25">
        <v>117</v>
      </c>
      <c r="N123" s="26">
        <f t="shared" si="9"/>
        <v>7.3209401709401707</v>
      </c>
      <c r="O123" s="25">
        <v>31331</v>
      </c>
      <c r="P123" s="25">
        <v>17667</v>
      </c>
      <c r="Q123" s="25">
        <v>1</v>
      </c>
      <c r="R123" s="40" t="s">
        <v>118</v>
      </c>
      <c r="S123" s="60">
        <v>45792</v>
      </c>
    </row>
    <row r="124" spans="1:19" ht="16.5" customHeight="1" x14ac:dyDescent="0.2">
      <c r="A124" s="35"/>
      <c r="B124" s="48" t="s">
        <v>243</v>
      </c>
      <c r="C124" s="51" t="s">
        <v>107</v>
      </c>
      <c r="D124" s="51" t="s">
        <v>231</v>
      </c>
      <c r="E124" s="51" t="s">
        <v>231</v>
      </c>
      <c r="F124" s="28">
        <v>1</v>
      </c>
      <c r="G124" s="51" t="s">
        <v>92</v>
      </c>
      <c r="H124" s="51" t="s">
        <v>23</v>
      </c>
      <c r="I124" s="51" t="s">
        <v>24</v>
      </c>
      <c r="J124" s="29">
        <v>843.37</v>
      </c>
      <c r="K124" s="51" t="s">
        <v>94</v>
      </c>
      <c r="L124" s="29">
        <f t="shared" si="8"/>
        <v>843.37</v>
      </c>
      <c r="M124" s="28">
        <v>102</v>
      </c>
      <c r="N124" s="29">
        <f t="shared" si="9"/>
        <v>8.2683333333333326</v>
      </c>
      <c r="O124" s="28">
        <v>18912</v>
      </c>
      <c r="P124" s="28">
        <v>9849</v>
      </c>
      <c r="Q124" s="28">
        <v>2</v>
      </c>
      <c r="R124" s="48" t="s">
        <v>118</v>
      </c>
      <c r="S124" s="61">
        <v>45783</v>
      </c>
    </row>
    <row r="125" spans="1:19" ht="16.5" customHeight="1" x14ac:dyDescent="0.2">
      <c r="A125" s="35"/>
      <c r="B125" s="40" t="s">
        <v>33</v>
      </c>
      <c r="C125" s="43" t="s">
        <v>107</v>
      </c>
      <c r="D125" s="43" t="s">
        <v>210</v>
      </c>
      <c r="E125" s="43" t="s">
        <v>210</v>
      </c>
      <c r="F125" s="25">
        <v>1</v>
      </c>
      <c r="G125" s="43" t="s">
        <v>92</v>
      </c>
      <c r="H125" s="43" t="s">
        <v>23</v>
      </c>
      <c r="I125" s="43" t="s">
        <v>24</v>
      </c>
      <c r="J125" s="26">
        <v>508.4</v>
      </c>
      <c r="K125" s="43" t="s">
        <v>94</v>
      </c>
      <c r="L125" s="26">
        <f t="shared" si="8"/>
        <v>508.4</v>
      </c>
      <c r="M125" s="25">
        <v>28</v>
      </c>
      <c r="N125" s="26">
        <f t="shared" si="9"/>
        <v>18.157142857142855</v>
      </c>
      <c r="O125" s="25">
        <v>11225</v>
      </c>
      <c r="P125" s="25">
        <v>6982</v>
      </c>
      <c r="Q125" s="25"/>
      <c r="R125" s="40" t="s">
        <v>118</v>
      </c>
      <c r="S125" s="60">
        <v>46019</v>
      </c>
    </row>
    <row r="126" spans="1:19" ht="16.5" customHeight="1" x14ac:dyDescent="0.2">
      <c r="A126" s="35"/>
      <c r="B126" s="48" t="s">
        <v>28</v>
      </c>
      <c r="C126" s="51" t="s">
        <v>107</v>
      </c>
      <c r="D126" s="51" t="s">
        <v>210</v>
      </c>
      <c r="E126" s="51" t="s">
        <v>210</v>
      </c>
      <c r="F126" s="28">
        <v>1</v>
      </c>
      <c r="G126" s="51" t="s">
        <v>92</v>
      </c>
      <c r="H126" s="51" t="s">
        <v>23</v>
      </c>
      <c r="I126" s="51" t="s">
        <v>24</v>
      </c>
      <c r="J126" s="29">
        <v>420.58</v>
      </c>
      <c r="K126" s="51" t="s">
        <v>94</v>
      </c>
      <c r="L126" s="29">
        <f t="shared" si="8"/>
        <v>420.58</v>
      </c>
      <c r="M126" s="28">
        <v>40</v>
      </c>
      <c r="N126" s="29">
        <f t="shared" si="9"/>
        <v>10.5145</v>
      </c>
      <c r="O126" s="28">
        <v>35199</v>
      </c>
      <c r="P126" s="28">
        <v>20296</v>
      </c>
      <c r="Q126" s="28"/>
      <c r="R126" s="48" t="s">
        <v>118</v>
      </c>
      <c r="S126" s="61">
        <v>46019</v>
      </c>
    </row>
    <row r="127" spans="1:19" ht="16.5" customHeight="1" x14ac:dyDescent="0.2">
      <c r="A127" s="35"/>
      <c r="B127" s="40" t="s">
        <v>244</v>
      </c>
      <c r="C127" s="43" t="s">
        <v>107</v>
      </c>
      <c r="D127" s="43" t="s">
        <v>214</v>
      </c>
      <c r="E127" s="43" t="s">
        <v>214</v>
      </c>
      <c r="F127" s="25">
        <v>1</v>
      </c>
      <c r="G127" s="43" t="s">
        <v>92</v>
      </c>
      <c r="H127" s="43" t="s">
        <v>23</v>
      </c>
      <c r="I127" s="43" t="s">
        <v>93</v>
      </c>
      <c r="J127" s="26">
        <v>250.37</v>
      </c>
      <c r="K127" s="43" t="s">
        <v>94</v>
      </c>
      <c r="L127" s="26">
        <f t="shared" si="8"/>
        <v>250.37</v>
      </c>
      <c r="M127" s="25"/>
      <c r="N127" s="26" t="str">
        <f t="shared" si="9"/>
        <v/>
      </c>
      <c r="O127" s="25">
        <v>5270</v>
      </c>
      <c r="P127" s="25">
        <v>2877</v>
      </c>
      <c r="Q127" s="25"/>
      <c r="R127" s="40" t="s">
        <v>118</v>
      </c>
      <c r="S127" s="60">
        <v>45971</v>
      </c>
    </row>
    <row r="128" spans="1:19" ht="16.5" customHeight="1" x14ac:dyDescent="0.2">
      <c r="A128" s="35"/>
      <c r="B128" s="48" t="s">
        <v>245</v>
      </c>
      <c r="C128" s="51" t="s">
        <v>107</v>
      </c>
      <c r="D128" s="51" t="s">
        <v>221</v>
      </c>
      <c r="E128" s="51" t="s">
        <v>221</v>
      </c>
      <c r="F128" s="28">
        <v>1</v>
      </c>
      <c r="G128" s="51" t="s">
        <v>92</v>
      </c>
      <c r="H128" s="51" t="s">
        <v>23</v>
      </c>
      <c r="I128" s="51" t="s">
        <v>93</v>
      </c>
      <c r="J128" s="29">
        <v>243.31</v>
      </c>
      <c r="K128" s="51" t="s">
        <v>94</v>
      </c>
      <c r="L128" s="29">
        <f t="shared" si="8"/>
        <v>243.31</v>
      </c>
      <c r="M128" s="28"/>
      <c r="N128" s="29" t="str">
        <f t="shared" si="9"/>
        <v/>
      </c>
      <c r="O128" s="28">
        <v>19912</v>
      </c>
      <c r="P128" s="28">
        <v>11497</v>
      </c>
      <c r="Q128" s="28"/>
      <c r="R128" s="48" t="s">
        <v>118</v>
      </c>
      <c r="S128" s="61">
        <v>45750</v>
      </c>
    </row>
    <row r="129" spans="1:19" ht="16.5" customHeight="1" x14ac:dyDescent="0.2">
      <c r="A129" s="35"/>
      <c r="B129" s="40" t="s">
        <v>246</v>
      </c>
      <c r="C129" s="43" t="s">
        <v>107</v>
      </c>
      <c r="D129" s="43" t="s">
        <v>209</v>
      </c>
      <c r="E129" s="43" t="s">
        <v>209</v>
      </c>
      <c r="F129" s="25">
        <v>1</v>
      </c>
      <c r="G129" s="43" t="s">
        <v>92</v>
      </c>
      <c r="H129" s="43" t="s">
        <v>23</v>
      </c>
      <c r="I129" s="43" t="s">
        <v>24</v>
      </c>
      <c r="J129" s="26">
        <v>69.59</v>
      </c>
      <c r="K129" s="43" t="s">
        <v>94</v>
      </c>
      <c r="L129" s="26">
        <f t="shared" si="8"/>
        <v>69.59</v>
      </c>
      <c r="M129" s="25">
        <v>4</v>
      </c>
      <c r="N129" s="26">
        <f t="shared" si="9"/>
        <v>17.397500000000001</v>
      </c>
      <c r="O129" s="25">
        <v>1285</v>
      </c>
      <c r="P129" s="25">
        <v>1053</v>
      </c>
      <c r="Q129" s="25"/>
      <c r="R129" s="40" t="s">
        <v>118</v>
      </c>
      <c r="S129" s="60">
        <v>45707</v>
      </c>
    </row>
    <row r="130" spans="1:19" ht="16.5" customHeight="1" x14ac:dyDescent="0.2">
      <c r="A130" s="35"/>
      <c r="B130" s="48" t="s">
        <v>247</v>
      </c>
      <c r="C130" s="49" t="s">
        <v>109</v>
      </c>
      <c r="D130" s="62" t="s">
        <v>248</v>
      </c>
      <c r="E130" s="62" t="s">
        <v>248</v>
      </c>
      <c r="F130" s="28"/>
      <c r="G130" s="51" t="s">
        <v>92</v>
      </c>
      <c r="H130" s="51" t="s">
        <v>23</v>
      </c>
      <c r="I130" s="51" t="s">
        <v>93</v>
      </c>
      <c r="J130" s="29">
        <v>0</v>
      </c>
      <c r="K130" s="51" t="s">
        <v>94</v>
      </c>
      <c r="L130" s="29">
        <f t="shared" si="8"/>
        <v>0</v>
      </c>
      <c r="M130" s="28"/>
      <c r="N130" s="29" t="str">
        <f t="shared" si="9"/>
        <v/>
      </c>
      <c r="O130" s="28"/>
      <c r="P130" s="28"/>
      <c r="Q130" s="28"/>
      <c r="R130" s="63" t="s">
        <v>249</v>
      </c>
      <c r="S130" s="53" t="s">
        <v>96</v>
      </c>
    </row>
    <row r="131" spans="1:19" ht="16.5" customHeight="1" x14ac:dyDescent="0.2">
      <c r="A131" s="35"/>
      <c r="B131" s="40" t="s">
        <v>250</v>
      </c>
      <c r="C131" s="41" t="s">
        <v>109</v>
      </c>
      <c r="D131" s="64" t="s">
        <v>248</v>
      </c>
      <c r="E131" s="64" t="s">
        <v>248</v>
      </c>
      <c r="F131" s="25"/>
      <c r="G131" s="43" t="s">
        <v>92</v>
      </c>
      <c r="H131" s="43" t="s">
        <v>23</v>
      </c>
      <c r="I131" s="43" t="s">
        <v>93</v>
      </c>
      <c r="J131" s="26">
        <v>0</v>
      </c>
      <c r="K131" s="43" t="s">
        <v>94</v>
      </c>
      <c r="L131" s="26">
        <f t="shared" si="8"/>
        <v>0</v>
      </c>
      <c r="M131" s="25"/>
      <c r="N131" s="26" t="str">
        <f t="shared" si="9"/>
        <v/>
      </c>
      <c r="O131" s="25"/>
      <c r="P131" s="25"/>
      <c r="Q131" s="25"/>
      <c r="R131" s="65" t="s">
        <v>249</v>
      </c>
      <c r="S131" s="45" t="s">
        <v>96</v>
      </c>
    </row>
    <row r="132" spans="1:19" ht="16.5" customHeight="1" x14ac:dyDescent="0.2">
      <c r="A132" s="35"/>
      <c r="B132" s="48" t="s">
        <v>251</v>
      </c>
      <c r="C132" s="49" t="s">
        <v>109</v>
      </c>
      <c r="D132" s="62" t="s">
        <v>248</v>
      </c>
      <c r="E132" s="62" t="s">
        <v>248</v>
      </c>
      <c r="F132" s="28"/>
      <c r="G132" s="51" t="s">
        <v>92</v>
      </c>
      <c r="H132" s="51" t="s">
        <v>23</v>
      </c>
      <c r="I132" s="51" t="s">
        <v>13</v>
      </c>
      <c r="J132" s="29">
        <v>0</v>
      </c>
      <c r="K132" s="51" t="s">
        <v>94</v>
      </c>
      <c r="L132" s="29">
        <f t="shared" si="8"/>
        <v>0</v>
      </c>
      <c r="M132" s="28"/>
      <c r="N132" s="29" t="str">
        <f t="shared" si="9"/>
        <v/>
      </c>
      <c r="O132" s="28"/>
      <c r="P132" s="28"/>
      <c r="Q132" s="28"/>
      <c r="R132" s="63" t="s">
        <v>249</v>
      </c>
      <c r="S132" s="53" t="s">
        <v>96</v>
      </c>
    </row>
    <row r="133" spans="1:19" ht="16.5" customHeight="1" x14ac:dyDescent="0.2">
      <c r="A133" s="35"/>
      <c r="B133" s="40" t="s">
        <v>252</v>
      </c>
      <c r="C133" s="41" t="s">
        <v>109</v>
      </c>
      <c r="D133" s="64" t="s">
        <v>248</v>
      </c>
      <c r="E133" s="64" t="s">
        <v>248</v>
      </c>
      <c r="F133" s="25"/>
      <c r="G133" s="43" t="s">
        <v>92</v>
      </c>
      <c r="H133" s="43" t="s">
        <v>23</v>
      </c>
      <c r="I133" s="43" t="s">
        <v>93</v>
      </c>
      <c r="J133" s="26">
        <v>0</v>
      </c>
      <c r="K133" s="43" t="s">
        <v>94</v>
      </c>
      <c r="L133" s="26">
        <f t="shared" si="8"/>
        <v>0</v>
      </c>
      <c r="M133" s="25"/>
      <c r="N133" s="26" t="str">
        <f t="shared" si="9"/>
        <v/>
      </c>
      <c r="O133" s="25"/>
      <c r="P133" s="25"/>
      <c r="Q133" s="25"/>
      <c r="R133" s="65" t="s">
        <v>249</v>
      </c>
      <c r="S133" s="45" t="s">
        <v>96</v>
      </c>
    </row>
    <row r="134" spans="1:19" ht="16.5" customHeight="1" x14ac:dyDescent="0.2">
      <c r="A134" s="35"/>
      <c r="B134" s="48" t="s">
        <v>253</v>
      </c>
      <c r="C134" s="49" t="s">
        <v>109</v>
      </c>
      <c r="D134" s="62" t="s">
        <v>248</v>
      </c>
      <c r="E134" s="62" t="s">
        <v>248</v>
      </c>
      <c r="F134" s="28"/>
      <c r="G134" s="51" t="s">
        <v>92</v>
      </c>
      <c r="H134" s="51" t="s">
        <v>23</v>
      </c>
      <c r="I134" s="51" t="s">
        <v>93</v>
      </c>
      <c r="J134" s="29">
        <v>0</v>
      </c>
      <c r="K134" s="51" t="s">
        <v>94</v>
      </c>
      <c r="L134" s="29">
        <f t="shared" si="8"/>
        <v>0</v>
      </c>
      <c r="M134" s="28"/>
      <c r="N134" s="29" t="str">
        <f t="shared" si="9"/>
        <v/>
      </c>
      <c r="O134" s="28"/>
      <c r="P134" s="28"/>
      <c r="Q134" s="28"/>
      <c r="R134" s="63" t="s">
        <v>249</v>
      </c>
      <c r="S134" s="53" t="s">
        <v>96</v>
      </c>
    </row>
    <row r="135" spans="1:19" ht="16.5" customHeight="1" x14ac:dyDescent="0.2">
      <c r="A135" s="35"/>
      <c r="B135" s="40" t="s">
        <v>254</v>
      </c>
      <c r="C135" s="41" t="s">
        <v>109</v>
      </c>
      <c r="D135" s="64" t="s">
        <v>248</v>
      </c>
      <c r="E135" s="64" t="s">
        <v>248</v>
      </c>
      <c r="F135" s="25"/>
      <c r="G135" s="43" t="s">
        <v>92</v>
      </c>
      <c r="H135" s="43" t="s">
        <v>23</v>
      </c>
      <c r="I135" s="43" t="s">
        <v>93</v>
      </c>
      <c r="J135" s="26">
        <v>0</v>
      </c>
      <c r="K135" s="43" t="s">
        <v>94</v>
      </c>
      <c r="L135" s="26">
        <f t="shared" si="8"/>
        <v>0</v>
      </c>
      <c r="M135" s="25"/>
      <c r="N135" s="26" t="str">
        <f t="shared" si="9"/>
        <v/>
      </c>
      <c r="O135" s="25"/>
      <c r="P135" s="25"/>
      <c r="Q135" s="25"/>
      <c r="R135" s="65" t="s">
        <v>249</v>
      </c>
      <c r="S135" s="45" t="s">
        <v>96</v>
      </c>
    </row>
    <row r="136" spans="1:19" ht="16.5" customHeight="1" x14ac:dyDescent="0.2">
      <c r="A136" s="35"/>
      <c r="B136" s="48" t="s">
        <v>255</v>
      </c>
      <c r="C136" s="49" t="s">
        <v>109</v>
      </c>
      <c r="D136" s="62" t="s">
        <v>248</v>
      </c>
      <c r="E136" s="62" t="s">
        <v>248</v>
      </c>
      <c r="F136" s="28"/>
      <c r="G136" s="51" t="s">
        <v>92</v>
      </c>
      <c r="H136" s="51" t="s">
        <v>104</v>
      </c>
      <c r="I136" s="51" t="s">
        <v>93</v>
      </c>
      <c r="J136" s="29">
        <v>0</v>
      </c>
      <c r="K136" s="51" t="s">
        <v>94</v>
      </c>
      <c r="L136" s="29">
        <f t="shared" si="8"/>
        <v>0</v>
      </c>
      <c r="M136" s="28"/>
      <c r="N136" s="29" t="str">
        <f t="shared" si="9"/>
        <v/>
      </c>
      <c r="O136" s="28"/>
      <c r="P136" s="28"/>
      <c r="Q136" s="28"/>
      <c r="R136" s="63" t="s">
        <v>249</v>
      </c>
      <c r="S136" s="53" t="s">
        <v>96</v>
      </c>
    </row>
    <row r="137" spans="1:19" ht="16.5" customHeight="1" x14ac:dyDescent="0.2">
      <c r="A137" s="35"/>
      <c r="B137" s="40" t="s">
        <v>256</v>
      </c>
      <c r="C137" s="41" t="s">
        <v>109</v>
      </c>
      <c r="D137" s="64" t="s">
        <v>248</v>
      </c>
      <c r="E137" s="64" t="s">
        <v>248</v>
      </c>
      <c r="F137" s="25"/>
      <c r="G137" s="43" t="s">
        <v>92</v>
      </c>
      <c r="H137" s="43" t="s">
        <v>23</v>
      </c>
      <c r="I137" s="43" t="s">
        <v>93</v>
      </c>
      <c r="J137" s="26">
        <v>0</v>
      </c>
      <c r="K137" s="43" t="s">
        <v>94</v>
      </c>
      <c r="L137" s="26">
        <f t="shared" ref="L137:L156" si="10">IF(K137="USD",J137*$Q$7,J137)</f>
        <v>0</v>
      </c>
      <c r="M137" s="25"/>
      <c r="N137" s="26" t="str">
        <f t="shared" ref="N137:N156" si="11">IFERROR(L137/M137,"")</f>
        <v/>
      </c>
      <c r="O137" s="25"/>
      <c r="P137" s="25"/>
      <c r="Q137" s="25"/>
      <c r="R137" s="65" t="s">
        <v>249</v>
      </c>
      <c r="S137" s="45" t="s">
        <v>96</v>
      </c>
    </row>
    <row r="138" spans="1:19" ht="16.5" customHeight="1" x14ac:dyDescent="0.2">
      <c r="A138" s="35"/>
      <c r="B138" s="48" t="s">
        <v>257</v>
      </c>
      <c r="C138" s="49" t="s">
        <v>109</v>
      </c>
      <c r="D138" s="62" t="s">
        <v>248</v>
      </c>
      <c r="E138" s="62" t="s">
        <v>248</v>
      </c>
      <c r="F138" s="28"/>
      <c r="G138" s="51" t="s">
        <v>92</v>
      </c>
      <c r="H138" s="51" t="s">
        <v>23</v>
      </c>
      <c r="I138" s="51" t="s">
        <v>93</v>
      </c>
      <c r="J138" s="29">
        <v>0</v>
      </c>
      <c r="K138" s="51" t="s">
        <v>94</v>
      </c>
      <c r="L138" s="29">
        <f t="shared" si="10"/>
        <v>0</v>
      </c>
      <c r="M138" s="28"/>
      <c r="N138" s="29" t="str">
        <f t="shared" si="11"/>
        <v/>
      </c>
      <c r="O138" s="28"/>
      <c r="P138" s="28"/>
      <c r="Q138" s="28"/>
      <c r="R138" s="63" t="s">
        <v>249</v>
      </c>
      <c r="S138" s="53" t="s">
        <v>96</v>
      </c>
    </row>
    <row r="139" spans="1:19" ht="16.5" customHeight="1" x14ac:dyDescent="0.2">
      <c r="A139" s="35"/>
      <c r="B139" s="40" t="s">
        <v>258</v>
      </c>
      <c r="C139" s="41" t="s">
        <v>109</v>
      </c>
      <c r="D139" s="64" t="s">
        <v>248</v>
      </c>
      <c r="E139" s="64" t="s">
        <v>248</v>
      </c>
      <c r="F139" s="25"/>
      <c r="G139" s="43" t="s">
        <v>92</v>
      </c>
      <c r="H139" s="43" t="s">
        <v>104</v>
      </c>
      <c r="I139" s="43" t="s">
        <v>93</v>
      </c>
      <c r="J139" s="26">
        <v>0</v>
      </c>
      <c r="K139" s="43" t="s">
        <v>94</v>
      </c>
      <c r="L139" s="26">
        <f t="shared" si="10"/>
        <v>0</v>
      </c>
      <c r="M139" s="25"/>
      <c r="N139" s="26" t="str">
        <f t="shared" si="11"/>
        <v/>
      </c>
      <c r="O139" s="25"/>
      <c r="P139" s="25"/>
      <c r="Q139" s="25"/>
      <c r="R139" s="65" t="s">
        <v>249</v>
      </c>
      <c r="S139" s="45" t="s">
        <v>96</v>
      </c>
    </row>
    <row r="140" spans="1:19" ht="16.5" customHeight="1" x14ac:dyDescent="0.2">
      <c r="A140" s="35"/>
      <c r="B140" s="48" t="s">
        <v>259</v>
      </c>
      <c r="C140" s="49" t="s">
        <v>109</v>
      </c>
      <c r="D140" s="62" t="s">
        <v>248</v>
      </c>
      <c r="E140" s="62" t="s">
        <v>248</v>
      </c>
      <c r="F140" s="28"/>
      <c r="G140" s="51" t="s">
        <v>92</v>
      </c>
      <c r="H140" s="51" t="s">
        <v>23</v>
      </c>
      <c r="I140" s="51" t="s">
        <v>93</v>
      </c>
      <c r="J140" s="29">
        <v>0</v>
      </c>
      <c r="K140" s="51" t="s">
        <v>94</v>
      </c>
      <c r="L140" s="29">
        <f t="shared" si="10"/>
        <v>0</v>
      </c>
      <c r="M140" s="28"/>
      <c r="N140" s="29" t="str">
        <f t="shared" si="11"/>
        <v/>
      </c>
      <c r="O140" s="28"/>
      <c r="P140" s="28"/>
      <c r="Q140" s="28"/>
      <c r="R140" s="63" t="s">
        <v>249</v>
      </c>
      <c r="S140" s="53" t="s">
        <v>96</v>
      </c>
    </row>
    <row r="141" spans="1:19" ht="16.5" customHeight="1" x14ac:dyDescent="0.2">
      <c r="A141" s="35"/>
      <c r="B141" s="40" t="s">
        <v>260</v>
      </c>
      <c r="C141" s="41" t="s">
        <v>109</v>
      </c>
      <c r="D141" s="64" t="s">
        <v>248</v>
      </c>
      <c r="E141" s="64" t="s">
        <v>248</v>
      </c>
      <c r="F141" s="25"/>
      <c r="G141" s="43" t="s">
        <v>92</v>
      </c>
      <c r="H141" s="43" t="s">
        <v>23</v>
      </c>
      <c r="I141" s="43" t="s">
        <v>93</v>
      </c>
      <c r="J141" s="26">
        <v>0</v>
      </c>
      <c r="K141" s="43" t="s">
        <v>94</v>
      </c>
      <c r="L141" s="26">
        <f t="shared" si="10"/>
        <v>0</v>
      </c>
      <c r="M141" s="25"/>
      <c r="N141" s="26" t="str">
        <f t="shared" si="11"/>
        <v/>
      </c>
      <c r="O141" s="25"/>
      <c r="P141" s="25"/>
      <c r="Q141" s="25"/>
      <c r="R141" s="65" t="s">
        <v>249</v>
      </c>
      <c r="S141" s="45" t="s">
        <v>96</v>
      </c>
    </row>
    <row r="142" spans="1:19" ht="16.5" customHeight="1" x14ac:dyDescent="0.2">
      <c r="A142" s="35"/>
      <c r="B142" s="48" t="s">
        <v>261</v>
      </c>
      <c r="C142" s="49" t="s">
        <v>109</v>
      </c>
      <c r="D142" s="62" t="s">
        <v>248</v>
      </c>
      <c r="E142" s="62" t="s">
        <v>248</v>
      </c>
      <c r="F142" s="28"/>
      <c r="G142" s="51" t="s">
        <v>92</v>
      </c>
      <c r="H142" s="51" t="s">
        <v>23</v>
      </c>
      <c r="I142" s="51" t="s">
        <v>93</v>
      </c>
      <c r="J142" s="29">
        <v>0</v>
      </c>
      <c r="K142" s="51" t="s">
        <v>94</v>
      </c>
      <c r="L142" s="29">
        <f t="shared" si="10"/>
        <v>0</v>
      </c>
      <c r="M142" s="28"/>
      <c r="N142" s="29" t="str">
        <f t="shared" si="11"/>
        <v/>
      </c>
      <c r="O142" s="28"/>
      <c r="P142" s="28"/>
      <c r="Q142" s="28"/>
      <c r="R142" s="63" t="s">
        <v>249</v>
      </c>
      <c r="S142" s="53" t="s">
        <v>96</v>
      </c>
    </row>
    <row r="143" spans="1:19" ht="16.5" customHeight="1" x14ac:dyDescent="0.2">
      <c r="A143" s="35"/>
      <c r="B143" s="40" t="s">
        <v>262</v>
      </c>
      <c r="C143" s="41" t="s">
        <v>109</v>
      </c>
      <c r="D143" s="64" t="s">
        <v>248</v>
      </c>
      <c r="E143" s="64" t="s">
        <v>248</v>
      </c>
      <c r="F143" s="25"/>
      <c r="G143" s="43" t="s">
        <v>92</v>
      </c>
      <c r="H143" s="43" t="s">
        <v>23</v>
      </c>
      <c r="I143" s="43" t="s">
        <v>93</v>
      </c>
      <c r="J143" s="26">
        <v>0</v>
      </c>
      <c r="K143" s="43" t="s">
        <v>94</v>
      </c>
      <c r="L143" s="26">
        <f t="shared" si="10"/>
        <v>0</v>
      </c>
      <c r="M143" s="25"/>
      <c r="N143" s="26" t="str">
        <f t="shared" si="11"/>
        <v/>
      </c>
      <c r="O143" s="25"/>
      <c r="P143" s="25"/>
      <c r="Q143" s="25"/>
      <c r="R143" s="65" t="s">
        <v>249</v>
      </c>
      <c r="S143" s="45" t="s">
        <v>96</v>
      </c>
    </row>
    <row r="144" spans="1:19" ht="16.5" customHeight="1" x14ac:dyDescent="0.2">
      <c r="A144" s="35"/>
      <c r="B144" s="48" t="s">
        <v>263</v>
      </c>
      <c r="C144" s="49" t="s">
        <v>109</v>
      </c>
      <c r="D144" s="62" t="s">
        <v>248</v>
      </c>
      <c r="E144" s="62" t="s">
        <v>248</v>
      </c>
      <c r="F144" s="28"/>
      <c r="G144" s="51" t="s">
        <v>92</v>
      </c>
      <c r="H144" s="51" t="s">
        <v>23</v>
      </c>
      <c r="I144" s="51" t="s">
        <v>93</v>
      </c>
      <c r="J144" s="29">
        <v>0</v>
      </c>
      <c r="K144" s="51" t="s">
        <v>94</v>
      </c>
      <c r="L144" s="29">
        <f t="shared" si="10"/>
        <v>0</v>
      </c>
      <c r="M144" s="28"/>
      <c r="N144" s="29" t="str">
        <f t="shared" si="11"/>
        <v/>
      </c>
      <c r="O144" s="28"/>
      <c r="P144" s="28"/>
      <c r="Q144" s="28"/>
      <c r="R144" s="63" t="s">
        <v>249</v>
      </c>
      <c r="S144" s="53" t="s">
        <v>96</v>
      </c>
    </row>
    <row r="145" spans="1:19" ht="16.5" customHeight="1" x14ac:dyDescent="0.2">
      <c r="A145" s="35"/>
      <c r="B145" s="40" t="s">
        <v>264</v>
      </c>
      <c r="C145" s="41" t="s">
        <v>109</v>
      </c>
      <c r="D145" s="64" t="s">
        <v>248</v>
      </c>
      <c r="E145" s="64" t="s">
        <v>248</v>
      </c>
      <c r="F145" s="25"/>
      <c r="G145" s="43" t="s">
        <v>92</v>
      </c>
      <c r="H145" s="43" t="s">
        <v>23</v>
      </c>
      <c r="I145" s="43" t="s">
        <v>93</v>
      </c>
      <c r="J145" s="26">
        <v>0</v>
      </c>
      <c r="K145" s="43" t="s">
        <v>94</v>
      </c>
      <c r="L145" s="26">
        <f t="shared" si="10"/>
        <v>0</v>
      </c>
      <c r="M145" s="25"/>
      <c r="N145" s="26" t="str">
        <f t="shared" si="11"/>
        <v/>
      </c>
      <c r="O145" s="25"/>
      <c r="P145" s="25"/>
      <c r="Q145" s="25"/>
      <c r="R145" s="65" t="s">
        <v>249</v>
      </c>
      <c r="S145" s="45" t="s">
        <v>96</v>
      </c>
    </row>
    <row r="146" spans="1:19" ht="16.5" customHeight="1" x14ac:dyDescent="0.2">
      <c r="A146" s="35"/>
      <c r="B146" s="48" t="s">
        <v>265</v>
      </c>
      <c r="C146" s="49" t="s">
        <v>109</v>
      </c>
      <c r="D146" s="62" t="s">
        <v>248</v>
      </c>
      <c r="E146" s="62" t="s">
        <v>248</v>
      </c>
      <c r="F146" s="28"/>
      <c r="G146" s="51" t="s">
        <v>92</v>
      </c>
      <c r="H146" s="51" t="s">
        <v>23</v>
      </c>
      <c r="I146" s="51" t="s">
        <v>93</v>
      </c>
      <c r="J146" s="29">
        <v>0</v>
      </c>
      <c r="K146" s="51" t="s">
        <v>94</v>
      </c>
      <c r="L146" s="29">
        <f t="shared" si="10"/>
        <v>0</v>
      </c>
      <c r="M146" s="28"/>
      <c r="N146" s="29" t="str">
        <f t="shared" si="11"/>
        <v/>
      </c>
      <c r="O146" s="28"/>
      <c r="P146" s="28"/>
      <c r="Q146" s="28"/>
      <c r="R146" s="63" t="s">
        <v>249</v>
      </c>
      <c r="S146" s="53" t="s">
        <v>96</v>
      </c>
    </row>
    <row r="147" spans="1:19" ht="16.5" customHeight="1" x14ac:dyDescent="0.2">
      <c r="A147" s="35"/>
      <c r="B147" s="40" t="s">
        <v>266</v>
      </c>
      <c r="C147" s="41" t="s">
        <v>109</v>
      </c>
      <c r="D147" s="64" t="s">
        <v>248</v>
      </c>
      <c r="E147" s="64" t="s">
        <v>248</v>
      </c>
      <c r="F147" s="25"/>
      <c r="G147" s="43" t="s">
        <v>92</v>
      </c>
      <c r="H147" s="43" t="s">
        <v>23</v>
      </c>
      <c r="I147" s="43" t="s">
        <v>93</v>
      </c>
      <c r="J147" s="26">
        <v>0</v>
      </c>
      <c r="K147" s="43" t="s">
        <v>94</v>
      </c>
      <c r="L147" s="26">
        <f t="shared" si="10"/>
        <v>0</v>
      </c>
      <c r="M147" s="25"/>
      <c r="N147" s="26" t="str">
        <f t="shared" si="11"/>
        <v/>
      </c>
      <c r="O147" s="25"/>
      <c r="P147" s="25"/>
      <c r="Q147" s="25"/>
      <c r="R147" s="65" t="s">
        <v>249</v>
      </c>
      <c r="S147" s="45" t="s">
        <v>96</v>
      </c>
    </row>
    <row r="148" spans="1:19" ht="16.5" customHeight="1" x14ac:dyDescent="0.2">
      <c r="A148" s="35"/>
      <c r="B148" s="48" t="s">
        <v>267</v>
      </c>
      <c r="C148" s="49" t="s">
        <v>109</v>
      </c>
      <c r="D148" s="62" t="s">
        <v>248</v>
      </c>
      <c r="E148" s="62" t="s">
        <v>248</v>
      </c>
      <c r="F148" s="28"/>
      <c r="G148" s="51" t="s">
        <v>92</v>
      </c>
      <c r="H148" s="51" t="s">
        <v>23</v>
      </c>
      <c r="I148" s="51" t="s">
        <v>93</v>
      </c>
      <c r="J148" s="29">
        <v>0</v>
      </c>
      <c r="K148" s="51" t="s">
        <v>94</v>
      </c>
      <c r="L148" s="29">
        <f t="shared" si="10"/>
        <v>0</v>
      </c>
      <c r="M148" s="28"/>
      <c r="N148" s="29" t="str">
        <f t="shared" si="11"/>
        <v/>
      </c>
      <c r="O148" s="28"/>
      <c r="P148" s="28"/>
      <c r="Q148" s="28"/>
      <c r="R148" s="63" t="s">
        <v>249</v>
      </c>
      <c r="S148" s="53" t="s">
        <v>96</v>
      </c>
    </row>
    <row r="149" spans="1:19" ht="16.5" customHeight="1" x14ac:dyDescent="0.2">
      <c r="A149" s="35"/>
      <c r="B149" s="40" t="s">
        <v>268</v>
      </c>
      <c r="C149" s="41" t="s">
        <v>109</v>
      </c>
      <c r="D149" s="64" t="s">
        <v>248</v>
      </c>
      <c r="E149" s="64" t="s">
        <v>248</v>
      </c>
      <c r="F149" s="25"/>
      <c r="G149" s="43" t="s">
        <v>92</v>
      </c>
      <c r="H149" s="43" t="s">
        <v>104</v>
      </c>
      <c r="I149" s="43" t="s">
        <v>93</v>
      </c>
      <c r="J149" s="26">
        <v>0</v>
      </c>
      <c r="K149" s="43" t="s">
        <v>94</v>
      </c>
      <c r="L149" s="26">
        <f t="shared" si="10"/>
        <v>0</v>
      </c>
      <c r="M149" s="25"/>
      <c r="N149" s="26" t="str">
        <f t="shared" si="11"/>
        <v/>
      </c>
      <c r="O149" s="25"/>
      <c r="P149" s="25"/>
      <c r="Q149" s="25"/>
      <c r="R149" s="65" t="s">
        <v>249</v>
      </c>
      <c r="S149" s="45" t="s">
        <v>96</v>
      </c>
    </row>
    <row r="150" spans="1:19" ht="16.5" customHeight="1" x14ac:dyDescent="0.2">
      <c r="A150" s="35"/>
      <c r="B150" s="48" t="s">
        <v>269</v>
      </c>
      <c r="C150" s="49" t="s">
        <v>109</v>
      </c>
      <c r="D150" s="62" t="s">
        <v>248</v>
      </c>
      <c r="E150" s="62" t="s">
        <v>248</v>
      </c>
      <c r="F150" s="28"/>
      <c r="G150" s="51" t="s">
        <v>92</v>
      </c>
      <c r="H150" s="51" t="s">
        <v>23</v>
      </c>
      <c r="I150" s="51" t="s">
        <v>93</v>
      </c>
      <c r="J150" s="29">
        <v>0</v>
      </c>
      <c r="K150" s="51" t="s">
        <v>94</v>
      </c>
      <c r="L150" s="29">
        <f t="shared" si="10"/>
        <v>0</v>
      </c>
      <c r="M150" s="28"/>
      <c r="N150" s="29" t="str">
        <f t="shared" si="11"/>
        <v/>
      </c>
      <c r="O150" s="28"/>
      <c r="P150" s="28"/>
      <c r="Q150" s="28"/>
      <c r="R150" s="63" t="s">
        <v>249</v>
      </c>
      <c r="S150" s="53" t="s">
        <v>96</v>
      </c>
    </row>
    <row r="151" spans="1:19" ht="16.5" customHeight="1" x14ac:dyDescent="0.2">
      <c r="A151" s="35"/>
      <c r="B151" s="40" t="s">
        <v>270</v>
      </c>
      <c r="C151" s="41" t="s">
        <v>109</v>
      </c>
      <c r="D151" s="64" t="s">
        <v>248</v>
      </c>
      <c r="E151" s="64" t="s">
        <v>248</v>
      </c>
      <c r="F151" s="25"/>
      <c r="G151" s="43" t="s">
        <v>92</v>
      </c>
      <c r="H151" s="43" t="s">
        <v>104</v>
      </c>
      <c r="I151" s="43" t="s">
        <v>93</v>
      </c>
      <c r="J151" s="26">
        <v>0</v>
      </c>
      <c r="K151" s="43" t="s">
        <v>94</v>
      </c>
      <c r="L151" s="26">
        <f t="shared" si="10"/>
        <v>0</v>
      </c>
      <c r="M151" s="25"/>
      <c r="N151" s="26" t="str">
        <f t="shared" si="11"/>
        <v/>
      </c>
      <c r="O151" s="25"/>
      <c r="P151" s="25"/>
      <c r="Q151" s="25"/>
      <c r="R151" s="65" t="s">
        <v>249</v>
      </c>
      <c r="S151" s="45" t="s">
        <v>96</v>
      </c>
    </row>
    <row r="152" spans="1:19" ht="16.5" customHeight="1" x14ac:dyDescent="0.2">
      <c r="A152" s="35"/>
      <c r="B152" s="48" t="s">
        <v>271</v>
      </c>
      <c r="C152" s="49" t="s">
        <v>109</v>
      </c>
      <c r="D152" s="62" t="s">
        <v>248</v>
      </c>
      <c r="E152" s="62" t="s">
        <v>248</v>
      </c>
      <c r="F152" s="28"/>
      <c r="G152" s="51" t="s">
        <v>92</v>
      </c>
      <c r="H152" s="51" t="s">
        <v>23</v>
      </c>
      <c r="I152" s="51" t="s">
        <v>93</v>
      </c>
      <c r="J152" s="29">
        <v>0</v>
      </c>
      <c r="K152" s="51" t="s">
        <v>94</v>
      </c>
      <c r="L152" s="29">
        <f t="shared" si="10"/>
        <v>0</v>
      </c>
      <c r="M152" s="28"/>
      <c r="N152" s="29" t="str">
        <f t="shared" si="11"/>
        <v/>
      </c>
      <c r="O152" s="28"/>
      <c r="P152" s="28"/>
      <c r="Q152" s="28"/>
      <c r="R152" s="63" t="s">
        <v>249</v>
      </c>
      <c r="S152" s="53" t="s">
        <v>96</v>
      </c>
    </row>
    <row r="153" spans="1:19" ht="16.5" customHeight="1" x14ac:dyDescent="0.2">
      <c r="A153" s="35"/>
      <c r="B153" s="40" t="s">
        <v>182</v>
      </c>
      <c r="C153" s="41" t="s">
        <v>109</v>
      </c>
      <c r="D153" s="64" t="s">
        <v>248</v>
      </c>
      <c r="E153" s="64" t="s">
        <v>248</v>
      </c>
      <c r="F153" s="25"/>
      <c r="G153" s="43" t="s">
        <v>92</v>
      </c>
      <c r="H153" s="43" t="s">
        <v>272</v>
      </c>
      <c r="I153" s="43" t="s">
        <v>93</v>
      </c>
      <c r="J153" s="26">
        <v>0</v>
      </c>
      <c r="K153" s="43" t="s">
        <v>94</v>
      </c>
      <c r="L153" s="26">
        <f t="shared" si="10"/>
        <v>0</v>
      </c>
      <c r="M153" s="25"/>
      <c r="N153" s="26" t="str">
        <f t="shared" si="11"/>
        <v/>
      </c>
      <c r="O153" s="25"/>
      <c r="P153" s="25"/>
      <c r="Q153" s="25"/>
      <c r="R153" s="65" t="s">
        <v>249</v>
      </c>
      <c r="S153" s="45" t="s">
        <v>96</v>
      </c>
    </row>
    <row r="154" spans="1:19" ht="16.5" customHeight="1" x14ac:dyDescent="0.2">
      <c r="A154" s="35"/>
      <c r="B154" s="48" t="s">
        <v>273</v>
      </c>
      <c r="C154" s="49" t="s">
        <v>109</v>
      </c>
      <c r="D154" s="62" t="s">
        <v>248</v>
      </c>
      <c r="E154" s="62" t="s">
        <v>248</v>
      </c>
      <c r="F154" s="28"/>
      <c r="G154" s="51" t="s">
        <v>92</v>
      </c>
      <c r="H154" s="51" t="s">
        <v>104</v>
      </c>
      <c r="I154" s="51" t="s">
        <v>93</v>
      </c>
      <c r="J154" s="29">
        <v>0</v>
      </c>
      <c r="K154" s="51" t="s">
        <v>94</v>
      </c>
      <c r="L154" s="29">
        <f t="shared" si="10"/>
        <v>0</v>
      </c>
      <c r="M154" s="28"/>
      <c r="N154" s="29" t="str">
        <f t="shared" si="11"/>
        <v/>
      </c>
      <c r="O154" s="28"/>
      <c r="P154" s="28"/>
      <c r="Q154" s="28"/>
      <c r="R154" s="63" t="s">
        <v>249</v>
      </c>
      <c r="S154" s="53" t="s">
        <v>96</v>
      </c>
    </row>
    <row r="155" spans="1:19" ht="16.5" customHeight="1" x14ac:dyDescent="0.2">
      <c r="A155" s="35"/>
      <c r="B155" s="40" t="s">
        <v>274</v>
      </c>
      <c r="C155" s="41" t="s">
        <v>109</v>
      </c>
      <c r="D155" s="64" t="s">
        <v>248</v>
      </c>
      <c r="E155" s="64" t="s">
        <v>248</v>
      </c>
      <c r="F155" s="25"/>
      <c r="G155" s="43" t="s">
        <v>182</v>
      </c>
      <c r="H155" s="43" t="s">
        <v>23</v>
      </c>
      <c r="I155" s="43" t="s">
        <v>93</v>
      </c>
      <c r="J155" s="26">
        <v>0</v>
      </c>
      <c r="K155" s="43" t="s">
        <v>184</v>
      </c>
      <c r="L155" s="26">
        <f t="shared" si="10"/>
        <v>0</v>
      </c>
      <c r="M155" s="25"/>
      <c r="N155" s="26" t="str">
        <f t="shared" si="11"/>
        <v/>
      </c>
      <c r="O155" s="25"/>
      <c r="P155" s="25"/>
      <c r="Q155" s="25"/>
      <c r="R155" s="65" t="s">
        <v>249</v>
      </c>
      <c r="S155" s="45" t="s">
        <v>96</v>
      </c>
    </row>
    <row r="156" spans="1:19" ht="16.5" customHeight="1" x14ac:dyDescent="0.2">
      <c r="A156" s="35"/>
      <c r="B156" s="48" t="s">
        <v>273</v>
      </c>
      <c r="C156" s="49" t="s">
        <v>109</v>
      </c>
      <c r="D156" s="62" t="s">
        <v>248</v>
      </c>
      <c r="E156" s="62" t="s">
        <v>248</v>
      </c>
      <c r="F156" s="28"/>
      <c r="G156" s="51" t="s">
        <v>182</v>
      </c>
      <c r="H156" s="51" t="s">
        <v>109</v>
      </c>
      <c r="I156" s="51" t="s">
        <v>93</v>
      </c>
      <c r="J156" s="29">
        <v>0</v>
      </c>
      <c r="K156" s="51" t="s">
        <v>184</v>
      </c>
      <c r="L156" s="29">
        <f t="shared" si="10"/>
        <v>0</v>
      </c>
      <c r="M156" s="28"/>
      <c r="N156" s="29" t="str">
        <f t="shared" si="11"/>
        <v/>
      </c>
      <c r="O156" s="28"/>
      <c r="P156" s="28"/>
      <c r="Q156" s="28"/>
      <c r="R156" s="63" t="s">
        <v>249</v>
      </c>
      <c r="S156" s="53" t="s">
        <v>96</v>
      </c>
    </row>
    <row r="157" spans="1:19" ht="21.75" customHeight="1" x14ac:dyDescent="0.2">
      <c r="A157" s="35"/>
      <c r="B157" s="31" t="s">
        <v>275</v>
      </c>
      <c r="C157" s="66"/>
      <c r="D157" s="66"/>
      <c r="E157" s="66"/>
      <c r="F157" s="32"/>
      <c r="G157" s="66"/>
      <c r="H157" s="66"/>
      <c r="I157" s="66"/>
      <c r="J157" s="33">
        <f>SUM(J9:J156)</f>
        <v>412099.23999999987</v>
      </c>
      <c r="K157" s="66"/>
      <c r="L157" s="33">
        <f>SUM(L9:L156)</f>
        <v>414246.19249999989</v>
      </c>
      <c r="M157" s="32" t="s">
        <v>276</v>
      </c>
      <c r="N157" s="33" t="s">
        <v>276</v>
      </c>
      <c r="O157" s="32">
        <f>SUM(O9:O156)</f>
        <v>69526460</v>
      </c>
      <c r="P157" s="32">
        <f>SUM(P9:P156)</f>
        <v>24471044</v>
      </c>
      <c r="Q157" s="32">
        <f>SUM(Q9:Q156)</f>
        <v>66</v>
      </c>
      <c r="R157" s="66"/>
      <c r="S157" s="67"/>
    </row>
    <row r="158" spans="1:19" x14ac:dyDescent="0.2">
      <c r="A158" s="35"/>
      <c r="B158" s="35"/>
      <c r="C158" s="35"/>
      <c r="D158" s="35"/>
      <c r="E158" s="35"/>
      <c r="F158" s="35"/>
      <c r="G158" s="35"/>
      <c r="H158" s="35"/>
      <c r="I158" s="35"/>
      <c r="J158" s="35"/>
      <c r="K158" s="35"/>
      <c r="L158" s="35"/>
      <c r="M158" s="35"/>
      <c r="N158" s="35"/>
      <c r="O158" s="35"/>
      <c r="P158" s="35"/>
      <c r="Q158" s="35"/>
      <c r="R158" s="35"/>
      <c r="S158" s="35"/>
    </row>
    <row r="159" spans="1:19" x14ac:dyDescent="0.2">
      <c r="A159" s="35"/>
      <c r="B159" s="68" t="s">
        <v>277</v>
      </c>
      <c r="C159" s="35"/>
      <c r="D159" s="35"/>
      <c r="E159" s="35"/>
      <c r="F159" s="35"/>
      <c r="G159" s="35"/>
      <c r="H159" s="35"/>
      <c r="I159" s="35"/>
      <c r="J159" s="35"/>
      <c r="K159" s="35"/>
      <c r="L159" s="35"/>
      <c r="M159" s="35"/>
      <c r="N159" s="35"/>
      <c r="O159" s="35"/>
      <c r="P159" s="35"/>
      <c r="Q159" s="35"/>
      <c r="R159" s="35"/>
      <c r="S159" s="35"/>
    </row>
    <row r="160" spans="1:19" x14ac:dyDescent="0.2">
      <c r="A160" s="35"/>
      <c r="B160" s="70" t="s">
        <v>278</v>
      </c>
      <c r="C160" s="71"/>
      <c r="D160" s="71"/>
      <c r="E160" s="71"/>
      <c r="F160" s="71"/>
      <c r="G160" s="71"/>
      <c r="H160" s="71"/>
      <c r="I160" s="71"/>
      <c r="J160" s="71"/>
      <c r="K160" s="71"/>
      <c r="L160" s="71"/>
      <c r="M160" s="71"/>
      <c r="N160" s="71"/>
      <c r="O160" s="71"/>
      <c r="P160" s="35"/>
      <c r="Q160" s="35"/>
      <c r="R160" s="35"/>
      <c r="S160" s="35"/>
    </row>
    <row r="161" spans="1:19" x14ac:dyDescent="0.2">
      <c r="A161" s="35"/>
      <c r="B161" s="70" t="s">
        <v>279</v>
      </c>
      <c r="D161" s="71"/>
      <c r="E161" s="71"/>
      <c r="F161" s="71"/>
      <c r="G161" s="71"/>
      <c r="P161" s="35"/>
      <c r="Q161" s="35"/>
      <c r="R161" s="35"/>
      <c r="S161" s="35"/>
    </row>
    <row r="162" spans="1:19" x14ac:dyDescent="0.2">
      <c r="A162" s="35"/>
      <c r="B162" s="70" t="s">
        <v>280</v>
      </c>
      <c r="P162" s="35"/>
      <c r="Q162" s="35"/>
      <c r="R162" s="35"/>
      <c r="S162" s="35"/>
    </row>
    <row r="163" spans="1:19" x14ac:dyDescent="0.2">
      <c r="A163" s="35"/>
      <c r="B163" s="69"/>
      <c r="C163" s="35"/>
      <c r="D163" s="35"/>
      <c r="E163" s="35"/>
      <c r="F163" s="35"/>
      <c r="G163" s="35"/>
      <c r="H163" s="35"/>
      <c r="I163" s="35"/>
      <c r="J163" s="35"/>
      <c r="K163" s="35"/>
      <c r="L163" s="35"/>
      <c r="M163" s="35"/>
      <c r="N163" s="35"/>
      <c r="O163" s="35"/>
      <c r="P163" s="35"/>
      <c r="Q163" s="35"/>
      <c r="R163" s="35"/>
      <c r="S163" s="35"/>
    </row>
    <row r="164" spans="1:19" ht="19.5" customHeight="1" x14ac:dyDescent="0.2">
      <c r="B164" s="72" t="s">
        <v>281</v>
      </c>
      <c r="C164" s="72"/>
      <c r="D164" s="72"/>
      <c r="E164" s="72"/>
      <c r="F164" s="72"/>
      <c r="G164" s="72"/>
      <c r="H164" s="72"/>
      <c r="I164" s="72"/>
      <c r="J164" s="72"/>
      <c r="K164" s="72"/>
      <c r="L164" s="72"/>
      <c r="M164" s="72"/>
      <c r="N164" s="72"/>
      <c r="O164" s="72"/>
      <c r="P164" s="72"/>
      <c r="Q164" s="72"/>
      <c r="R164" s="72"/>
      <c r="S164" s="72"/>
    </row>
  </sheetData>
  <autoFilter ref="B8:S156" xr:uid="{00000000-0009-0000-0000-000002000000}"/>
  <mergeCells count="11">
    <mergeCell ref="B164:S164"/>
    <mergeCell ref="B2:S3"/>
    <mergeCell ref="B5:S5"/>
    <mergeCell ref="B7:C7"/>
    <mergeCell ref="D7:E7"/>
    <mergeCell ref="F7:G7"/>
    <mergeCell ref="H7:J7"/>
    <mergeCell ref="K7:L7"/>
    <mergeCell ref="M7:N7"/>
    <mergeCell ref="O7:P7"/>
    <mergeCell ref="Q7:S7"/>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Campaign Data</vt:lpstr>
      <vt:lpstr>Dashboard</vt:lpstr>
      <vt:lpstr>Previous Trips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Anthony De Vera Jr</cp:lastModifiedBy>
  <cp:revision>2</cp:revision>
  <dcterms:created xsi:type="dcterms:W3CDTF">2026-08-23T18:53:13Z</dcterms:created>
  <dcterms:modified xsi:type="dcterms:W3CDTF">2026-08-24T11:23:55Z</dcterms:modified>
  <dc:language>en-US</dc:language>
</cp:coreProperties>
</file>